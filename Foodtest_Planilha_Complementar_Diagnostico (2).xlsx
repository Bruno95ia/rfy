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/>
  <mc:AlternateContent xmlns:mc="http://schemas.openxmlformats.org/markup-compatibility/2006">
    <mc:Choice Requires="x15">
      <x15ac:absPath xmlns:x15ac="http://schemas.microsoft.com/office/spreadsheetml/2010/11/ac" url="/Users/bruno/Desktop/"/>
    </mc:Choice>
  </mc:AlternateContent>
  <xr:revisionPtr revIDLastSave="0" documentId="8_{926B2485-AB2D-FC46-BF44-470D32BF3DF8}" xr6:coauthVersionLast="47" xr6:coauthVersionMax="47" xr10:uidLastSave="{00000000-0000-0000-0000-000000000000}"/>
  <bookViews>
    <workbookView xWindow="36420" yWindow="1160" windowWidth="33600" windowHeight="20380" activeTab="2" xr2:uid="{00000000-000D-0000-FFFF-FFFF00000000}"/>
  </bookViews>
  <sheets>
    <sheet name="1_Instrucoes" sheetId="1" r:id="rId1"/>
    <sheet name="Planilha1" sheetId="7" r:id="rId2"/>
    <sheet name="2_UnitEconomics_POC" sheetId="2" r:id="rId3"/>
    <sheet name="3_Recrutamento_Filtros" sheetId="3" r:id="rId4"/>
    <sheet name="4_Base_Curitiba_Log" sheetId="4" r:id="rId5"/>
    <sheet name="5_Mapa_Fiscal" sheetId="5" r:id="rId6"/>
    <sheet name="Social Listening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tW/Yhx8ZKwVfAZzwld1zRWo0c4+ZD9E0+SMEM/SHRg="/>
    </ext>
  </extLst>
</workbook>
</file>

<file path=xl/calcChain.xml><?xml version="1.0" encoding="utf-8"?>
<calcChain xmlns="http://schemas.openxmlformats.org/spreadsheetml/2006/main">
  <c r="I23" i="2" l="1" a="1"/>
  <c r="I23" i="2" s="1"/>
  <c r="F16" i="2"/>
  <c r="C19" i="2" s="1"/>
  <c r="B20" i="2"/>
  <c r="G4" i="2"/>
  <c r="K12" i="3"/>
  <c r="J12" i="3"/>
  <c r="I12" i="3"/>
  <c r="K11" i="3"/>
  <c r="J11" i="3"/>
  <c r="I11" i="3"/>
  <c r="K10" i="3"/>
  <c r="J10" i="3"/>
  <c r="I10" i="3"/>
  <c r="K9" i="3"/>
  <c r="J9" i="3"/>
  <c r="I9" i="3"/>
  <c r="K7" i="3"/>
  <c r="J7" i="3"/>
  <c r="I7" i="3"/>
  <c r="K6" i="3"/>
  <c r="J6" i="3"/>
  <c r="I6" i="3"/>
  <c r="K5" i="3"/>
  <c r="J5" i="3"/>
  <c r="I5" i="3"/>
  <c r="K4" i="3"/>
  <c r="J4" i="3"/>
  <c r="I4" i="3"/>
  <c r="G13" i="2"/>
  <c r="G12" i="2"/>
  <c r="G11" i="2"/>
  <c r="G10" i="2"/>
  <c r="G9" i="2"/>
  <c r="G8" i="2"/>
  <c r="G7" i="2"/>
  <c r="G6" i="2"/>
  <c r="G5" i="2"/>
  <c r="C21" i="2" l="1"/>
  <c r="D19" i="2"/>
  <c r="D21" i="2" s="1"/>
  <c r="G14" i="2"/>
  <c r="B23" i="2" l="1"/>
  <c r="B25" i="2" l="1"/>
  <c r="B26" i="2" s="1"/>
  <c r="B2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<sst xmlns="http://schemas.openxmlformats.org/spreadsheetml/2006/main" count="251" uniqueCount="192">
  <si>
    <t>Foodtest | Coleta complementar para fechar o Diagnóstico SUPHO</t>
  </si>
  <si>
    <t>Item crítico</t>
  </si>
  <si>
    <t>O que precisamos</t>
  </si>
  <si>
    <t>Por que isso importa</t>
  </si>
  <si>
    <t>Quem preenche</t>
  </si>
  <si>
    <t>Status</t>
  </si>
  <si>
    <t>Observação</t>
  </si>
  <si>
    <t>1. Forms</t>
  </si>
  <si>
    <t>Luma + Thiago preencherem os formulários</t>
  </si>
  <si>
    <t>Fecha maturidade por pilar com evidência</t>
  </si>
  <si>
    <t>Luma / Thiago</t>
  </si>
  <si>
    <t>Feito</t>
  </si>
  <si>
    <t>2. Pipeline</t>
  </si>
  <si>
    <r>
      <rPr>
        <sz val="11"/>
        <color theme="1"/>
        <rFont val="Calibri"/>
      </rPr>
      <t xml:space="preserve">CRM não está atualizado. Precisamos ao menos de uma fotografia atual: empresa, estágio, última interação, próxima ação, </t>
    </r>
    <r>
      <rPr>
        <sz val="11"/>
        <color rgb="FFFF0000"/>
        <rFont val="Calibri (Corpo)"/>
      </rPr>
      <t>valor estimado.</t>
    </r>
    <r>
      <rPr>
        <sz val="11"/>
        <color theme="1"/>
        <rFont val="Calibri"/>
      </rPr>
      <t xml:space="preserve"> </t>
    </r>
  </si>
  <si>
    <t>Sem isso, o diagnóstico de performance fica com baixa confiabilidade.</t>
  </si>
  <si>
    <t>Luma</t>
  </si>
  <si>
    <t xml:space="preserve">Pode atualizar o valor estimado na planilha que enviou com os próximos passos. </t>
  </si>
  <si>
    <t>3. Unit economics da POC</t>
  </si>
  <si>
    <t>Preencher a aba 2 com custos por item e por projeto/respondente.</t>
  </si>
  <si>
    <t>Permite calcular margem, ponto de equilíbrio e validar o preço atual da POC.</t>
  </si>
  <si>
    <t>4. Recrutamento e filtros</t>
  </si>
  <si>
    <t>Preencher a aba 3 com taxa de resposta em cada etapa e critérios por categoria.</t>
  </si>
  <si>
    <t>Precisamos diferenciar recrutamento (filtro/seleção) do retorno final da pesquisa.</t>
  </si>
  <si>
    <t>5. Base Curitiba + logística</t>
  </si>
  <si>
    <t>Preencher a aba 4 com tamanho da base em Curitiba, empresa de logística e custo.</t>
  </si>
  <si>
    <t>Importante para testar expansão e viabilidade regional.</t>
  </si>
  <si>
    <t>6. Mapa fiscal</t>
  </si>
  <si>
    <t>Preencher a aba 5 com CNAE, anexo do Simples, alíquota efetiva e hipótese de caminho para tecnologia.</t>
  </si>
  <si>
    <t>Fecha FISK e direciona revisão de modelo de receita.</t>
  </si>
  <si>
    <t>Luma / contador</t>
  </si>
  <si>
    <t>Como ler os itens</t>
  </si>
  <si>
    <t>Unit economics da POC</t>
  </si>
  <si>
    <t>Conta completa do custo da POC: embalagem, manuseio, entrega, brindes/pontos, ferramentas rateadas, horas internas e qualquer outro custo direto.</t>
  </si>
  <si>
    <t>Recrutamento</t>
  </si>
  <si>
    <t>Etapa de ativar a base e pedir que as pessoas respondam o filtro.</t>
  </si>
  <si>
    <t>Filtro</t>
  </si>
  <si>
    <t>Critérios usados para selecionar o público certo: cidade, categoria consumida, frequência, idade, gênero etc.</t>
  </si>
  <si>
    <t>Retorno final</t>
  </si>
  <si>
    <t>Quem recebeu o kit e respondeu a pesquisa do produto.</t>
  </si>
  <si>
    <t>Mapa fiscal</t>
  </si>
  <si>
    <t>Regime atual (Simples/CNAE/anexo/alíquota por NF) + hipótese de estrutura/atividade para tecnologia/assinatura.</t>
  </si>
  <si>
    <t>POC | Planilha de custos por item (preencher em azul)</t>
  </si>
  <si>
    <t>Categoria</t>
  </si>
  <si>
    <t>Item de custo</t>
  </si>
  <si>
    <t>Descrição do que entra</t>
  </si>
  <si>
    <t>Unidade</t>
  </si>
  <si>
    <t>Qtd por projeto</t>
  </si>
  <si>
    <t>Valor unitário (R$)</t>
  </si>
  <si>
    <t>Custo total (R$)</t>
  </si>
  <si>
    <t>Observações</t>
  </si>
  <si>
    <t>Custos diretos</t>
  </si>
  <si>
    <t>Embalagem / acondicionamento</t>
  </si>
  <si>
    <t>Caixa, sacola térmica, gelo, etiqueta, folder, adesivos</t>
  </si>
  <si>
    <t>por respondente</t>
  </si>
  <si>
    <t>Caixa (2,00), Sacola térmica (8,00), Bolsa de gel para gelo (3,00), folder (5,50), adesivos (2,50)</t>
  </si>
  <si>
    <t>Manuseio (Fabiola/CD)</t>
  </si>
  <si>
    <t>Separação, montagem dos kits, impressão, atendimento motoboy</t>
  </si>
  <si>
    <t>por projeto</t>
  </si>
  <si>
    <t>Entrega / motoboy / empresa logística</t>
  </si>
  <si>
    <t>Entrega dos kits ao consumidor final</t>
  </si>
  <si>
    <t>Brindes / pontos / benefícios</t>
  </si>
  <si>
    <t>Custos de resgate, incentivo ou brinde associado</t>
  </si>
  <si>
    <t>Ferramentas rateadas</t>
  </si>
  <si>
    <t>Ferramenta de pesquisa</t>
  </si>
  <si>
    <t>Ex.: SurveyMonkey ou equivalente, rateado por projeto</t>
  </si>
  <si>
    <t>mensal</t>
  </si>
  <si>
    <t>CRM / disparo / WhatsApp / e-mail</t>
  </si>
  <si>
    <t>Rateio de SendPulse ou ferramenta usada no projeto</t>
  </si>
  <si>
    <t>Horas internas</t>
  </si>
  <si>
    <t>Horas Luma</t>
  </si>
  <si>
    <t>Tempo de setup, acompanhamento, análise e devolutiva</t>
  </si>
  <si>
    <t>horas</t>
  </si>
  <si>
    <t>Horas apoio operacional</t>
  </si>
  <si>
    <t>Tempo de qualquer pessoa envolvida internamente</t>
  </si>
  <si>
    <t xml:space="preserve">Tecnologia </t>
  </si>
  <si>
    <t>Desenvolvimento</t>
  </si>
  <si>
    <t>horas/mensal</t>
  </si>
  <si>
    <t>Infra / cloud / hospedagem</t>
  </si>
  <si>
    <t>Rateio do custo da infraestrutura relacionada ao uso do projeto</t>
  </si>
  <si>
    <t>Tráfego / recrutamento</t>
  </si>
  <si>
    <t>Tráfego pago para fomentar o público para a pesquisa</t>
  </si>
  <si>
    <t>Premissas do projeto</t>
  </si>
  <si>
    <t>Nº de respondentes planejados</t>
  </si>
  <si>
    <t>Preço cobrado do projeto (R$)</t>
  </si>
  <si>
    <t>Receita líquida estimada (R$)</t>
  </si>
  <si>
    <t>KPIs calculados</t>
  </si>
  <si>
    <t>Custo total da POC (R$)</t>
  </si>
  <si>
    <t>Custo por respondente (R$)</t>
  </si>
  <si>
    <t>Margem bruta (R$)</t>
  </si>
  <si>
    <t>Margem bruta (%)</t>
  </si>
  <si>
    <t>Recrutamento e filtros | o que medir por categoria/projeto</t>
  </si>
  <si>
    <t>Categoria / projeto</t>
  </si>
  <si>
    <t>Cidade / região</t>
  </si>
  <si>
    <t>Critérios de filtro usados</t>
  </si>
  <si>
    <t>Base ativada (#)</t>
  </si>
  <si>
    <t>Responderam o filtro (#)</t>
  </si>
  <si>
    <t>Elegíveis (#)</t>
  </si>
  <si>
    <t>Receberam kit (#)</t>
  </si>
  <si>
    <t>Responderam pesquisa final (#)</t>
  </si>
  <si>
    <t>Taxa resposta filtro</t>
  </si>
  <si>
    <t>Taxa elegibilidade</t>
  </si>
  <si>
    <t>Taxa resposta final</t>
  </si>
  <si>
    <t>Açaí</t>
  </si>
  <si>
    <t>Campinas / SP</t>
  </si>
  <si>
    <t xml:space="preserve">Ser nutricionista, morar na cidade de Campinas e consumir açaí </t>
  </si>
  <si>
    <t>Hambúrguer vegetal</t>
  </si>
  <si>
    <t>Ser vegetariano, morar nacidade de Campinas, gostar de cogumelo</t>
  </si>
  <si>
    <t>Bebida açucarada infantil</t>
  </si>
  <si>
    <t xml:space="preserve">Pais ou responsáveis com filhos com Idade entre 3 e 12 anos,  morar na cidade de Campinas, consumir bebida açucarada e gostar dos sabores: morango, uva, laranja, maçã, frequência de consumo mínima </t>
  </si>
  <si>
    <t>Snacks proteícos</t>
  </si>
  <si>
    <t>São Paulo / SP</t>
  </si>
  <si>
    <t>Idade entre 18 e 55 anos, morar na cidade de SP, consumir amendoim e consumir algum tipo de salgadinho, frequência de consumo mínima de salgadinhos</t>
  </si>
  <si>
    <t>Pipoca de micro-ondas</t>
  </si>
  <si>
    <t>Idade entre 18 e 55 anos, morar na cidade de SP, consumir pipoca de micro-ondas, frequência de consumo mínima de pipoca de micro-ondas, classe b1, b2, c1 e c2, não rejeitar a marca yoki</t>
  </si>
  <si>
    <t>Alimentos Plant-based</t>
  </si>
  <si>
    <t>Idade entre 18 e 55 anos, morar na cidade de SP, ser vegano ou flexitariano, consumir hambúrguer e consumir linguiça, consumo mínimo destes alimentos, classe b1, b2, c1 e c2</t>
  </si>
  <si>
    <t>Pão tipo bisnaguinha</t>
  </si>
  <si>
    <t>Idade entre 18 e 55 anos, morar na cidade de SP, consumir pão tipo bisnaguinha, frequência mínima de consumo, 50% dos lares com filhos, 50% dos lares sem filhos, 50% homem e 50% mulher, não trabalhar em áreas correlatas a alimentos, não rejeitar a marca Bauducco</t>
  </si>
  <si>
    <t>Biscoito doce amanteigado</t>
  </si>
  <si>
    <t>Idade entre 18 e 55 anos, morar na cidade de SP, consumir biscoito doce amanteigado, frequência mínima de consumo, 100% mulher, não trabalhar em áreas correlatas a alimentos, não rejeitar a marca Bauducco</t>
  </si>
  <si>
    <t>Biscoito cookies</t>
  </si>
  <si>
    <t>Idade entre 18 e 55 anos, morar na cidade de SP, consumir biscoito tipo cookies, frequência mínima de consumo, 50% dos lares com filhos, 50% dos lares sem filhos, 50% homem e 50% mulher, não trabalhar em áreas correlatas a alimentos, não rejeitar a marca Bauducco</t>
  </si>
  <si>
    <t>Bebida energética</t>
  </si>
  <si>
    <t>Idade entre 18 e 55, morar nas cidades Goiânia, Curitiba, São Paulo, Recife e Manaus</t>
  </si>
  <si>
    <t>Explicação</t>
  </si>
  <si>
    <t>Critérios para selecionar o público certo: cidade, categoria consumida, frequência, idade, gênero etc.</t>
  </si>
  <si>
    <t>Curitiba | base, categorias e viabilidade logística</t>
  </si>
  <si>
    <t>Item</t>
  </si>
  <si>
    <t>Informação a preencher</t>
  </si>
  <si>
    <t>Exemplo / orientação</t>
  </si>
  <si>
    <t>Responsável</t>
  </si>
  <si>
    <t>Data</t>
  </si>
  <si>
    <t>Tamanho da base Curitiba</t>
  </si>
  <si>
    <t>Qtd de testadores cadastrados de Curitiba/região</t>
  </si>
  <si>
    <t>Pendente</t>
  </si>
  <si>
    <t>Categorias com base suficiente</t>
  </si>
  <si>
    <t>Pão de forma, achocolatado em pó, salgadinhos, bebida mista e gaseificada, leite fermentado, bala de gelatina ~ todas categorias com &gt; 500 respostas</t>
  </si>
  <si>
    <t>Ex.: bebidas, laticínios, panificação, suplementos</t>
  </si>
  <si>
    <t>Empresa de logística cotada</t>
  </si>
  <si>
    <t>Lalamove</t>
  </si>
  <si>
    <t>Nome da empresa (Lalamove, motoboy, outra)</t>
  </si>
  <si>
    <t>Custo estimado por entrega</t>
  </si>
  <si>
    <t>R$/kit ou R$/rota</t>
  </si>
  <si>
    <t>Fiz média de preço entre região central de curitiba até São José dos Pinhais</t>
  </si>
  <si>
    <t>Prazo estimado de entrega</t>
  </si>
  <si>
    <t>Mesma cidade / D+1 / janelas</t>
  </si>
  <si>
    <t>Mapa fiscal | estrutura atual e hipótese para tecnologia</t>
  </si>
  <si>
    <t>Tema</t>
  </si>
  <si>
    <t>Informação atual</t>
  </si>
  <si>
    <t>Onde buscar / quem confirma</t>
  </si>
  <si>
    <t>Impacto no diagnóstico</t>
  </si>
  <si>
    <t>Link / evidência</t>
  </si>
  <si>
    <t>Regime tributário</t>
  </si>
  <si>
    <t>Simples nacional</t>
  </si>
  <si>
    <t>Contador / contrato social</t>
  </si>
  <si>
    <t>Fecha FISK e margem</t>
  </si>
  <si>
    <t>Ex.: Simples Nacional</t>
  </si>
  <si>
    <t>CNAE principal atual</t>
  </si>
  <si>
    <t>73.20-3-00 - Pesquisas de mercado e de opinião pública (Dispensada *)</t>
  </si>
  <si>
    <t>Cartão CNPJ / contador</t>
  </si>
  <si>
    <t>Explica alíquota atual</t>
  </si>
  <si>
    <t>Anexo do Simples</t>
  </si>
  <si>
    <t>Contador</t>
  </si>
  <si>
    <t>Ajuda a entender % por NF</t>
  </si>
  <si>
    <t>https://drive.google.com/drive/folders/1OiVZDiyd-IY3Z85xj7ust8KHk4CNnF6t</t>
  </si>
  <si>
    <t>Alíquota efetiva média</t>
  </si>
  <si>
    <t>Contador / notas emitidas</t>
  </si>
  <si>
    <t>Valida os 15,5% citados</t>
  </si>
  <si>
    <t>Tipo de receita atual</t>
  </si>
  <si>
    <t>Serviços intelectuais / técnicos</t>
  </si>
  <si>
    <t>Luma + contador</t>
  </si>
  <si>
    <t>Separar consultoria vs tecnologia</t>
  </si>
  <si>
    <t>Hipótese para tecnologia/assinatura</t>
  </si>
  <si>
    <t>Contador / jurídico</t>
  </si>
  <si>
    <t>Direciona modelo de oferta</t>
  </si>
  <si>
    <t>Ex.: CNAE secundário / nova empresa / software</t>
  </si>
  <si>
    <t xml:space="preserve">Nós já estamos enquadrados em CNAEs de Tecnologia e nenhum deles diminui o %. </t>
  </si>
  <si>
    <t>Risco/limitação fiscal</t>
  </si>
  <si>
    <t>Evita promessa inviável</t>
  </si>
  <si>
    <t>Status atual (em qual etapa está hoje) + previsão de entrega da Fase 1 (escopo fechado)</t>
  </si>
  <si>
    <t>Status atual</t>
  </si>
  <si>
    <t xml:space="preserve">Estamos definindo por qual caminho iremos inicial o desenvolvimento. Caminho 1: Iremos adquirir os dados de empresas que já fazem social listenning ou se iremos desenvolver um MVP do 0. </t>
  </si>
  <si>
    <t>Quais custos de terceiros já estão mapeados (ferramentas, APIs, IA/LLM)</t>
  </si>
  <si>
    <t>Solicitado ao dev</t>
  </si>
  <si>
    <t>Status do projeto de Dashboard com IA/ML: escopo/entregas + cronograma + dependências (pra eu amarrar na narrativa do produto)</t>
  </si>
  <si>
    <t>Estamos aguardando a empresa que desenvolveu o sistema liberar o acesso para a outra empresa que irá desenvolver os módulos</t>
  </si>
  <si>
    <t>%Lucro</t>
  </si>
  <si>
    <t>%Receita</t>
  </si>
  <si>
    <t>Custo POC - Unitário</t>
  </si>
  <si>
    <t xml:space="preserve">Custo por projeto (Empresa) </t>
  </si>
  <si>
    <t xml:space="preserve">Quantidade Respondentes </t>
  </si>
  <si>
    <t>TOTAL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</si>
</sst>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[$R$ -416]#,##0.00"/>
    <numFmt numFmtId="165" formatCode="_([$R$ -416]* #,##0.00_);_([$R$ -416]* \(#,##0.00\);_([$R$ -416]* &quot;-&quot;??_);_(@_)"/>
    <numFmt numFmtId="166" formatCode="0.0%"/>
    <numFmt numFmtId="167" formatCode="&quot;R$&quot;\ #,##0.00"/>
  </numFmts>
  <fonts count="18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FF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1"/>
      <color theme="1"/>
      <name val="Calibri"/>
      <scheme val="minor"/>
    </font>
    <font>
      <sz val="11"/>
      <color rgb="FFFF0000"/>
      <name val="Calibri (Corpo)"/>
    </font>
    <font>
      <b/>
      <u/>
      <sz val="11"/>
      <color rgb="FF0000FF"/>
      <name val="Calibri (Corpo)"/>
    </font>
    <font>
      <u/>
      <sz val="11"/>
      <color rgb="FF0000FF"/>
      <name val="Calibri (Corpo)"/>
    </font>
    <font>
      <u/>
      <sz val="11"/>
      <color theme="1"/>
      <name val="Calibri (Corpo)"/>
    </font>
    <font>
      <b/>
      <u val="singleAccounting"/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2">
    <xf numFmtId="0" fontId="0" fillId="0" borderId="0" xfId="0"/>
    <xf numFmtId="0" fontId="3" fillId="3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4" borderId="4" xfId="0" applyFont="1" applyFill="1" applyBorder="1" applyAlignment="1">
      <alignment horizontal="left" vertical="top" wrapText="1"/>
    </xf>
    <xf numFmtId="165" fontId="4" fillId="0" borderId="4" xfId="0" applyNumberFormat="1" applyFont="1" applyBorder="1" applyAlignment="1">
      <alignment horizontal="left" vertical="top" wrapText="1"/>
    </xf>
    <xf numFmtId="165" fontId="4" fillId="0" borderId="4" xfId="0" applyNumberFormat="1" applyFont="1" applyBorder="1" applyAlignment="1">
      <alignment vertical="top" wrapText="1"/>
    </xf>
    <xf numFmtId="166" fontId="4" fillId="0" borderId="4" xfId="0" applyNumberFormat="1" applyFont="1" applyBorder="1" applyAlignment="1">
      <alignment vertical="top" wrapText="1"/>
    </xf>
    <xf numFmtId="0" fontId="5" fillId="4" borderId="5" xfId="0" applyFont="1" applyFill="1" applyBorder="1" applyAlignment="1">
      <alignment horizontal="left"/>
    </xf>
    <xf numFmtId="166" fontId="4" fillId="0" borderId="4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5" fillId="4" borderId="4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vertical="top" wrapText="1"/>
    </xf>
    <xf numFmtId="10" fontId="5" fillId="4" borderId="4" xfId="0" applyNumberFormat="1" applyFont="1" applyFill="1" applyBorder="1" applyAlignment="1">
      <alignment horizontal="left" vertical="top" wrapText="1"/>
    </xf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44" fontId="5" fillId="4" borderId="4" xfId="1" applyFont="1" applyFill="1" applyBorder="1" applyAlignment="1">
      <alignment horizontal="left" vertical="top" wrapText="1"/>
    </xf>
    <xf numFmtId="164" fontId="11" fillId="4" borderId="4" xfId="0" applyNumberFormat="1" applyFont="1" applyFill="1" applyBorder="1" applyAlignment="1">
      <alignment horizontal="left" vertical="top" wrapText="1"/>
    </xf>
    <xf numFmtId="165" fontId="13" fillId="0" borderId="4" xfId="0" applyNumberFormat="1" applyFont="1" applyBorder="1" applyAlignment="1">
      <alignment horizontal="left" vertical="top" wrapText="1"/>
    </xf>
    <xf numFmtId="165" fontId="0" fillId="0" borderId="0" xfId="0" applyNumberFormat="1"/>
    <xf numFmtId="0" fontId="14" fillId="4" borderId="4" xfId="0" applyFont="1" applyFill="1" applyBorder="1" applyAlignment="1">
      <alignment horizontal="left" vertical="top" wrapText="1"/>
    </xf>
    <xf numFmtId="164" fontId="0" fillId="0" borderId="0" xfId="0" applyNumberFormat="1"/>
    <xf numFmtId="44" fontId="0" fillId="0" borderId="0" xfId="2" applyNumberFormat="1" applyFont="1"/>
    <xf numFmtId="44" fontId="0" fillId="0" borderId="0" xfId="0" applyNumberFormat="1"/>
    <xf numFmtId="0" fontId="15" fillId="0" borderId="0" xfId="0" applyFont="1"/>
    <xf numFmtId="164" fontId="10" fillId="4" borderId="6" xfId="0" applyNumberFormat="1" applyFont="1" applyFill="1" applyBorder="1" applyAlignment="1">
      <alignment horizontal="left" vertical="top" wrapText="1"/>
    </xf>
    <xf numFmtId="167" fontId="12" fillId="0" borderId="7" xfId="0" applyNumberFormat="1" applyFont="1" applyBorder="1"/>
    <xf numFmtId="164" fontId="16" fillId="0" borderId="8" xfId="0" applyNumberFormat="1" applyFont="1" applyBorder="1" applyAlignment="1">
      <alignment horizontal="center"/>
    </xf>
    <xf numFmtId="44" fontId="4" fillId="0" borderId="1" xfId="1" applyFont="1" applyBorder="1" applyAlignment="1">
      <alignment horizontal="left" vertical="top" wrapText="1"/>
    </xf>
    <xf numFmtId="0" fontId="0" fillId="0" borderId="5" xfId="0" applyBorder="1"/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9" fontId="0" fillId="5" borderId="11" xfId="2" applyFont="1" applyFill="1" applyBorder="1" applyAlignment="1">
      <alignment horizontal="center"/>
    </xf>
    <xf numFmtId="9" fontId="0" fillId="5" borderId="12" xfId="2" applyFont="1" applyFill="1" applyBorder="1" applyAlignment="1">
      <alignment horizontal="center"/>
    </xf>
    <xf numFmtId="0" fontId="17" fillId="0" borderId="5" xfId="0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OiVZDiyd-IY3Z85xj7ust8KHk4CNnF6t" TargetMode="External"/><Relationship Id="rId1" Type="http://schemas.openxmlformats.org/officeDocument/2006/relationships/hyperlink" Target="https://drive.google.com/drive/folders/1OiVZDiyd-IY3Z85xj7ust8KHk4CNnF6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sqref="A1:F1"/>
    </sheetView>
  </sheetViews>
  <sheetFormatPr baseColWidth="10" defaultColWidth="14.5" defaultRowHeight="15" customHeight="1" x14ac:dyDescent="0.2"/>
  <cols>
    <col min="1" max="1" width="18" customWidth="1"/>
    <col min="2" max="2" width="46" customWidth="1"/>
    <col min="3" max="3" width="42" customWidth="1"/>
    <col min="4" max="4" width="18" customWidth="1"/>
    <col min="5" max="5" width="12" customWidth="1"/>
    <col min="6" max="6" width="30" customWidth="1"/>
    <col min="7" max="26" width="8.83203125" customWidth="1"/>
  </cols>
  <sheetData>
    <row r="1" spans="1:6" x14ac:dyDescent="0.2">
      <c r="A1" s="20" t="s">
        <v>0</v>
      </c>
      <c r="B1" s="21"/>
      <c r="C1" s="21"/>
      <c r="D1" s="21"/>
      <c r="E1" s="21"/>
      <c r="F1" s="22"/>
    </row>
    <row r="3" spans="1:6" ht="1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6" x14ac:dyDescent="0.2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/>
    </row>
    <row r="5" spans="1:6" ht="48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11</v>
      </c>
      <c r="F5" s="2" t="s">
        <v>16</v>
      </c>
    </row>
    <row r="6" spans="1:6" ht="32" x14ac:dyDescent="0.2">
      <c r="A6" s="2" t="s">
        <v>17</v>
      </c>
      <c r="B6" s="2" t="s">
        <v>18</v>
      </c>
      <c r="C6" s="2" t="s">
        <v>19</v>
      </c>
      <c r="D6" s="2" t="s">
        <v>15</v>
      </c>
      <c r="E6" s="2" t="s">
        <v>11</v>
      </c>
      <c r="F6" s="2"/>
    </row>
    <row r="7" spans="1:6" ht="32" x14ac:dyDescent="0.2">
      <c r="A7" s="2" t="s">
        <v>20</v>
      </c>
      <c r="B7" s="2" t="s">
        <v>21</v>
      </c>
      <c r="C7" s="2" t="s">
        <v>22</v>
      </c>
      <c r="D7" s="2" t="s">
        <v>15</v>
      </c>
      <c r="E7" s="2" t="s">
        <v>11</v>
      </c>
      <c r="F7" s="2"/>
    </row>
    <row r="8" spans="1:6" ht="32" x14ac:dyDescent="0.2">
      <c r="A8" s="2" t="s">
        <v>23</v>
      </c>
      <c r="B8" s="2" t="s">
        <v>24</v>
      </c>
      <c r="C8" s="2" t="s">
        <v>25</v>
      </c>
      <c r="D8" s="2" t="s">
        <v>15</v>
      </c>
      <c r="E8" s="2" t="s">
        <v>11</v>
      </c>
      <c r="F8" s="2"/>
    </row>
    <row r="9" spans="1:6" ht="32" x14ac:dyDescent="0.2">
      <c r="A9" s="2" t="s">
        <v>26</v>
      </c>
      <c r="B9" s="2" t="s">
        <v>27</v>
      </c>
      <c r="C9" s="2" t="s">
        <v>28</v>
      </c>
      <c r="D9" s="2" t="s">
        <v>29</v>
      </c>
      <c r="E9" s="2" t="s">
        <v>11</v>
      </c>
      <c r="F9" s="2"/>
    </row>
    <row r="12" spans="1:6" ht="16" x14ac:dyDescent="0.2">
      <c r="A12" s="3" t="s">
        <v>30</v>
      </c>
    </row>
    <row r="13" spans="1:6" ht="48" x14ac:dyDescent="0.2">
      <c r="A13" s="4" t="s">
        <v>31</v>
      </c>
      <c r="B13" s="2" t="s">
        <v>32</v>
      </c>
    </row>
    <row r="14" spans="1:6" ht="32" x14ac:dyDescent="0.2">
      <c r="A14" s="4" t="s">
        <v>33</v>
      </c>
      <c r="B14" s="2" t="s">
        <v>34</v>
      </c>
    </row>
    <row r="15" spans="1:6" ht="32" x14ac:dyDescent="0.2">
      <c r="A15" s="4" t="s">
        <v>35</v>
      </c>
      <c r="B15" s="2" t="s">
        <v>36</v>
      </c>
    </row>
    <row r="16" spans="1:6" ht="16" x14ac:dyDescent="0.2">
      <c r="A16" s="4" t="s">
        <v>37</v>
      </c>
      <c r="B16" s="2" t="s">
        <v>38</v>
      </c>
    </row>
    <row r="17" spans="1:2" ht="48" x14ac:dyDescent="0.2">
      <c r="A17" s="4" t="s">
        <v>39</v>
      </c>
      <c r="B17" s="2" t="s">
        <v>40</v>
      </c>
    </row>
    <row r="21" spans="1:2" ht="15.75" customHeight="1" x14ac:dyDescent="0.2"/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5D79-16AC-AA41-BB10-22C4DFD0D6CE}">
  <dimension ref="A1"/>
  <sheetViews>
    <sheetView workbookViewId="0">
      <selection activeCell="A3" sqref="A3"/>
    </sheetView>
  </sheetViews>
  <sheetFormatPr baseColWidth="10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topLeftCell="A2" zoomScale="110" zoomScaleNormal="110" workbookViewId="0">
      <selection activeCell="H23" sqref="H23:H33"/>
    </sheetView>
  </sheetViews>
  <sheetFormatPr baseColWidth="10" defaultColWidth="14.5" defaultRowHeight="15" customHeight="1" x14ac:dyDescent="0.2"/>
  <cols>
    <col min="1" max="1" width="18" customWidth="1"/>
    <col min="2" max="2" width="26" customWidth="1"/>
    <col min="3" max="3" width="45" customWidth="1"/>
    <col min="4" max="5" width="16" customWidth="1"/>
    <col min="6" max="6" width="18" customWidth="1"/>
    <col min="7" max="7" width="16" customWidth="1"/>
    <col min="8" max="8" width="26" customWidth="1"/>
    <col min="9" max="9" width="22.83203125" bestFit="1" customWidth="1"/>
    <col min="10" max="10" width="13.6640625" bestFit="1" customWidth="1"/>
    <col min="11" max="26" width="8.83203125" customWidth="1"/>
  </cols>
  <sheetData>
    <row r="1" spans="1:8" x14ac:dyDescent="0.2">
      <c r="A1" s="20" t="s">
        <v>41</v>
      </c>
      <c r="B1" s="21"/>
      <c r="C1" s="21"/>
      <c r="D1" s="21"/>
      <c r="E1" s="21"/>
      <c r="F1" s="21"/>
      <c r="G1" s="21"/>
      <c r="H1" s="22"/>
    </row>
    <row r="3" spans="1:8" ht="16" x14ac:dyDescent="0.2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</row>
    <row r="4" spans="1:8" ht="64" x14ac:dyDescent="0.2">
      <c r="A4" s="2" t="s">
        <v>50</v>
      </c>
      <c r="B4" s="2" t="s">
        <v>51</v>
      </c>
      <c r="C4" s="2" t="s">
        <v>52</v>
      </c>
      <c r="D4" s="2" t="s">
        <v>53</v>
      </c>
      <c r="E4" s="5">
        <v>150</v>
      </c>
      <c r="F4" s="24">
        <v>21</v>
      </c>
      <c r="G4" s="25">
        <f>E4*F4</f>
        <v>3150</v>
      </c>
      <c r="H4" s="2" t="s">
        <v>54</v>
      </c>
    </row>
    <row r="5" spans="1:8" ht="32" x14ac:dyDescent="0.2">
      <c r="A5" s="2" t="s">
        <v>50</v>
      </c>
      <c r="B5" s="2" t="s">
        <v>55</v>
      </c>
      <c r="C5" s="2" t="s">
        <v>56</v>
      </c>
      <c r="D5" s="2" t="s">
        <v>57</v>
      </c>
      <c r="E5" s="5">
        <v>1</v>
      </c>
      <c r="F5" s="24">
        <v>2100</v>
      </c>
      <c r="G5" s="25">
        <f t="shared" ref="G5:G14" si="0">E5*F5</f>
        <v>2100</v>
      </c>
      <c r="H5" s="2"/>
    </row>
    <row r="6" spans="1:8" ht="32" x14ac:dyDescent="0.2">
      <c r="A6" s="2" t="s">
        <v>50</v>
      </c>
      <c r="B6" s="2" t="s">
        <v>58</v>
      </c>
      <c r="C6" s="2" t="s">
        <v>59</v>
      </c>
      <c r="D6" s="2" t="s">
        <v>53</v>
      </c>
      <c r="E6" s="5">
        <v>150</v>
      </c>
      <c r="F6" s="24">
        <v>30</v>
      </c>
      <c r="G6" s="25">
        <f t="shared" si="0"/>
        <v>4500</v>
      </c>
      <c r="H6" s="2"/>
    </row>
    <row r="7" spans="1:8" ht="18" x14ac:dyDescent="0.2">
      <c r="A7" s="2" t="s">
        <v>50</v>
      </c>
      <c r="B7" s="2" t="s">
        <v>60</v>
      </c>
      <c r="C7" s="2" t="s">
        <v>61</v>
      </c>
      <c r="D7" s="2" t="s">
        <v>53</v>
      </c>
      <c r="E7" s="5">
        <v>150</v>
      </c>
      <c r="F7" s="24">
        <v>15</v>
      </c>
      <c r="G7" s="25">
        <f t="shared" si="0"/>
        <v>2250</v>
      </c>
      <c r="H7" s="2"/>
    </row>
    <row r="8" spans="1:8" ht="18" x14ac:dyDescent="0.2">
      <c r="A8" s="2" t="s">
        <v>62</v>
      </c>
      <c r="B8" s="2" t="s">
        <v>63</v>
      </c>
      <c r="C8" s="2" t="s">
        <v>64</v>
      </c>
      <c r="D8" s="2" t="s">
        <v>65</v>
      </c>
      <c r="E8" s="5">
        <v>15</v>
      </c>
      <c r="F8" s="24">
        <v>113.33</v>
      </c>
      <c r="G8" s="25">
        <f t="shared" si="0"/>
        <v>1699.95</v>
      </c>
      <c r="H8" s="2"/>
    </row>
    <row r="9" spans="1:8" ht="32" x14ac:dyDescent="0.2">
      <c r="A9" s="2" t="s">
        <v>62</v>
      </c>
      <c r="B9" s="2" t="s">
        <v>66</v>
      </c>
      <c r="C9" s="2" t="s">
        <v>67</v>
      </c>
      <c r="D9" s="2" t="s">
        <v>65</v>
      </c>
      <c r="E9" s="5">
        <v>15</v>
      </c>
      <c r="F9" s="24">
        <v>20.66</v>
      </c>
      <c r="G9" s="25">
        <f t="shared" si="0"/>
        <v>309.89999999999998</v>
      </c>
      <c r="H9" s="2"/>
    </row>
    <row r="10" spans="1:8" ht="18" x14ac:dyDescent="0.2">
      <c r="A10" s="2" t="s">
        <v>68</v>
      </c>
      <c r="B10" s="2" t="s">
        <v>69</v>
      </c>
      <c r="C10" s="2" t="s">
        <v>70</v>
      </c>
      <c r="D10" s="2" t="s">
        <v>71</v>
      </c>
      <c r="E10" s="5">
        <v>30</v>
      </c>
      <c r="F10" s="24">
        <v>250</v>
      </c>
      <c r="G10" s="25">
        <f t="shared" si="0"/>
        <v>7500</v>
      </c>
      <c r="H10" s="2"/>
    </row>
    <row r="11" spans="1:8" ht="18" x14ac:dyDescent="0.2">
      <c r="A11" s="2" t="s">
        <v>68</v>
      </c>
      <c r="B11" s="2" t="s">
        <v>72</v>
      </c>
      <c r="C11" s="2" t="s">
        <v>73</v>
      </c>
      <c r="D11" s="2" t="s">
        <v>71</v>
      </c>
      <c r="E11" s="5">
        <v>0</v>
      </c>
      <c r="F11" s="24">
        <v>0</v>
      </c>
      <c r="G11" s="25">
        <f t="shared" si="0"/>
        <v>0</v>
      </c>
      <c r="H11" s="2"/>
    </row>
    <row r="12" spans="1:8" ht="18" x14ac:dyDescent="0.2">
      <c r="A12" s="2" t="s">
        <v>74</v>
      </c>
      <c r="B12" s="2" t="s">
        <v>75</v>
      </c>
      <c r="C12" s="2" t="s">
        <v>73</v>
      </c>
      <c r="D12" s="2" t="s">
        <v>76</v>
      </c>
      <c r="E12" s="5">
        <v>15</v>
      </c>
      <c r="F12" s="24">
        <v>250</v>
      </c>
      <c r="G12" s="25">
        <f t="shared" si="0"/>
        <v>3750</v>
      </c>
      <c r="H12" s="2"/>
    </row>
    <row r="13" spans="1:8" ht="32" x14ac:dyDescent="0.2">
      <c r="A13" s="2" t="s">
        <v>74</v>
      </c>
      <c r="B13" s="2" t="s">
        <v>77</v>
      </c>
      <c r="C13" s="2" t="s">
        <v>78</v>
      </c>
      <c r="D13" s="2" t="s">
        <v>65</v>
      </c>
      <c r="E13" s="5">
        <v>1</v>
      </c>
      <c r="F13" s="24">
        <v>500</v>
      </c>
      <c r="G13" s="25">
        <f t="shared" si="0"/>
        <v>500</v>
      </c>
      <c r="H13" s="2"/>
    </row>
    <row r="14" spans="1:8" ht="17" thickBot="1" x14ac:dyDescent="0.25">
      <c r="A14" s="2" t="s">
        <v>50</v>
      </c>
      <c r="B14" s="2" t="s">
        <v>79</v>
      </c>
      <c r="C14" s="2" t="s">
        <v>80</v>
      </c>
      <c r="D14" s="2" t="s">
        <v>57</v>
      </c>
      <c r="E14" s="27">
        <v>150</v>
      </c>
      <c r="F14" s="32">
        <v>26.67</v>
      </c>
      <c r="G14" s="6">
        <f t="shared" si="0"/>
        <v>4000.5000000000005</v>
      </c>
      <c r="H14" s="2"/>
    </row>
    <row r="15" spans="1:8" ht="15" customHeight="1" x14ac:dyDescent="0.2">
      <c r="F15" s="33" t="s">
        <v>188</v>
      </c>
    </row>
    <row r="16" spans="1:8" ht="15" customHeight="1" thickBot="1" x14ac:dyDescent="0.25">
      <c r="F16" s="34">
        <f>SUM(F4:F14)</f>
        <v>3326.66</v>
      </c>
      <c r="G16" s="26"/>
    </row>
    <row r="17" spans="1:11" ht="16" x14ac:dyDescent="0.2">
      <c r="A17" s="3" t="s">
        <v>81</v>
      </c>
    </row>
    <row r="18" spans="1:11" ht="32" x14ac:dyDescent="0.2">
      <c r="A18" s="2" t="s">
        <v>82</v>
      </c>
      <c r="B18" s="5">
        <v>150</v>
      </c>
      <c r="F18" s="26"/>
      <c r="G18" s="26"/>
    </row>
    <row r="19" spans="1:11" ht="33" thickBot="1" x14ac:dyDescent="0.25">
      <c r="A19" s="2" t="s">
        <v>83</v>
      </c>
      <c r="B19" s="23">
        <v>5000</v>
      </c>
      <c r="C19" s="29">
        <f>B19-F16</f>
        <v>1673.3400000000001</v>
      </c>
      <c r="D19" s="30">
        <f>C19*15</f>
        <v>25100.100000000002</v>
      </c>
    </row>
    <row r="20" spans="1:11" ht="32" x14ac:dyDescent="0.2">
      <c r="A20" s="2" t="s">
        <v>84</v>
      </c>
      <c r="B20" s="35">
        <f>B19*15</f>
        <v>75000</v>
      </c>
      <c r="C20" s="37" t="s">
        <v>186</v>
      </c>
      <c r="D20" s="38" t="s">
        <v>187</v>
      </c>
    </row>
    <row r="21" spans="1:11" ht="15.75" customHeight="1" thickBot="1" x14ac:dyDescent="0.25">
      <c r="B21" s="36"/>
      <c r="C21" s="39">
        <f>C19/B19</f>
        <v>0.33466800000000002</v>
      </c>
      <c r="D21" s="40">
        <f>D19/B20</f>
        <v>0.33466800000000002</v>
      </c>
    </row>
    <row r="22" spans="1:11" ht="15.75" customHeight="1" x14ac:dyDescent="0.2">
      <c r="A22" s="3" t="s">
        <v>85</v>
      </c>
      <c r="H22" s="31" t="s">
        <v>190</v>
      </c>
      <c r="I22" s="31" t="s">
        <v>189</v>
      </c>
      <c r="J22" s="41" t="s">
        <v>191</v>
      </c>
      <c r="K22" s="31" t="s">
        <v>191</v>
      </c>
    </row>
    <row r="23" spans="1:11" ht="15.75" customHeight="1" x14ac:dyDescent="0.2">
      <c r="A23" s="2" t="s">
        <v>86</v>
      </c>
      <c r="B23" s="7">
        <f>SUM(G4:G14)</f>
        <v>29760.35</v>
      </c>
      <c r="H23" s="5">
        <v>150</v>
      </c>
      <c r="I23" s="28" cm="1">
        <f t="array" ref="I23:I33">F4:F14</f>
        <v>21</v>
      </c>
    </row>
    <row r="24" spans="1:11" ht="15.75" customHeight="1" x14ac:dyDescent="0.2">
      <c r="A24" s="2" t="s">
        <v>87</v>
      </c>
      <c r="B24" s="2">
        <f>IFERROR(B23/B18,"")</f>
        <v>198.40233333333333</v>
      </c>
      <c r="H24" s="5">
        <v>1</v>
      </c>
      <c r="I24">
        <v>2100</v>
      </c>
    </row>
    <row r="25" spans="1:11" ht="15.75" customHeight="1" x14ac:dyDescent="0.2">
      <c r="A25" s="2" t="s">
        <v>88</v>
      </c>
      <c r="B25" s="7">
        <f>B20-B23</f>
        <v>45239.65</v>
      </c>
      <c r="H25" s="5">
        <v>150</v>
      </c>
      <c r="I25">
        <v>30</v>
      </c>
    </row>
    <row r="26" spans="1:11" ht="15.75" customHeight="1" x14ac:dyDescent="0.2">
      <c r="A26" s="2" t="s">
        <v>89</v>
      </c>
      <c r="B26" s="8">
        <f>IFERROR(B25/B20,"")</f>
        <v>0.60319533333333331</v>
      </c>
      <c r="H26" s="5">
        <v>150</v>
      </c>
      <c r="I26">
        <v>15</v>
      </c>
    </row>
    <row r="27" spans="1:11" ht="15.75" customHeight="1" x14ac:dyDescent="0.2">
      <c r="H27" s="5">
        <v>15</v>
      </c>
      <c r="I27">
        <v>113.33</v>
      </c>
    </row>
    <row r="28" spans="1:11" ht="15.75" customHeight="1" x14ac:dyDescent="0.2">
      <c r="H28" s="5">
        <v>15</v>
      </c>
      <c r="I28">
        <v>20.66</v>
      </c>
    </row>
    <row r="29" spans="1:11" ht="15.75" customHeight="1" x14ac:dyDescent="0.2">
      <c r="H29" s="5">
        <v>30</v>
      </c>
      <c r="I29">
        <v>250</v>
      </c>
    </row>
    <row r="30" spans="1:11" ht="15.75" customHeight="1" x14ac:dyDescent="0.2">
      <c r="H30" s="5">
        <v>0</v>
      </c>
      <c r="I30">
        <v>0</v>
      </c>
    </row>
    <row r="31" spans="1:11" ht="15.75" customHeight="1" x14ac:dyDescent="0.2">
      <c r="H31" s="5">
        <v>15</v>
      </c>
      <c r="I31">
        <v>250</v>
      </c>
    </row>
    <row r="32" spans="1:11" ht="15.75" customHeight="1" x14ac:dyDescent="0.2">
      <c r="H32" s="5">
        <v>1</v>
      </c>
      <c r="I32">
        <v>500</v>
      </c>
    </row>
    <row r="33" spans="8:9" ht="15.75" customHeight="1" x14ac:dyDescent="0.2">
      <c r="H33" s="27">
        <v>150</v>
      </c>
      <c r="I33">
        <v>26.67</v>
      </c>
    </row>
    <row r="34" spans="8:9" ht="15.75" customHeight="1" x14ac:dyDescent="0.2"/>
    <row r="35" spans="8:9" ht="15.75" customHeight="1" x14ac:dyDescent="0.2"/>
    <row r="36" spans="8:9" ht="15.75" customHeight="1" x14ac:dyDescent="0.2"/>
    <row r="37" spans="8:9" ht="15.75" customHeight="1" x14ac:dyDescent="0.2"/>
    <row r="38" spans="8:9" ht="15.75" customHeight="1" x14ac:dyDescent="0.2"/>
    <row r="39" spans="8:9" ht="15.75" customHeight="1" x14ac:dyDescent="0.2"/>
    <row r="40" spans="8:9" ht="15.75" customHeight="1" x14ac:dyDescent="0.2"/>
    <row r="41" spans="8:9" ht="15.75" customHeight="1" x14ac:dyDescent="0.2"/>
    <row r="42" spans="8:9" ht="15.75" customHeight="1" x14ac:dyDescent="0.2"/>
    <row r="43" spans="8:9" ht="15.75" customHeight="1" x14ac:dyDescent="0.2"/>
    <row r="44" spans="8:9" ht="15.75" customHeight="1" x14ac:dyDescent="0.2"/>
    <row r="45" spans="8:9" ht="15.75" customHeight="1" x14ac:dyDescent="0.2"/>
    <row r="46" spans="8:9" ht="15.75" customHeight="1" x14ac:dyDescent="0.2"/>
    <row r="47" spans="8:9" ht="15.75" customHeight="1" x14ac:dyDescent="0.2"/>
    <row r="48" spans="8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>
      <selection sqref="A1:K1"/>
    </sheetView>
  </sheetViews>
  <sheetFormatPr baseColWidth="10" defaultColWidth="14.5" defaultRowHeight="15" customHeight="1" x14ac:dyDescent="0.2"/>
  <cols>
    <col min="1" max="1" width="24" customWidth="1"/>
    <col min="2" max="2" width="16" customWidth="1"/>
    <col min="3" max="3" width="36" customWidth="1"/>
    <col min="4" max="4" width="16" customWidth="1"/>
    <col min="5" max="5" width="18" customWidth="1"/>
    <col min="6" max="6" width="14" customWidth="1"/>
    <col min="7" max="7" width="16" customWidth="1"/>
    <col min="8" max="8" width="22" customWidth="1"/>
    <col min="9" max="11" width="16" customWidth="1"/>
    <col min="12" max="26" width="8.83203125" customWidth="1"/>
  </cols>
  <sheetData>
    <row r="1" spans="1:26" x14ac:dyDescent="0.2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3" spans="1:26" ht="32" x14ac:dyDescent="0.2">
      <c r="A3" s="1" t="s">
        <v>91</v>
      </c>
      <c r="B3" s="1" t="s">
        <v>92</v>
      </c>
      <c r="C3" s="1" t="s">
        <v>93</v>
      </c>
      <c r="D3" s="1" t="s">
        <v>94</v>
      </c>
      <c r="E3" s="1" t="s">
        <v>95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</row>
    <row r="4" spans="1:26" x14ac:dyDescent="0.2">
      <c r="A4" s="9" t="s">
        <v>102</v>
      </c>
      <c r="B4" s="9" t="s">
        <v>103</v>
      </c>
      <c r="C4" s="9" t="s">
        <v>104</v>
      </c>
      <c r="D4" s="9">
        <v>1000</v>
      </c>
      <c r="E4" s="9">
        <v>569</v>
      </c>
      <c r="F4" s="9">
        <v>233</v>
      </c>
      <c r="G4" s="9">
        <v>120</v>
      </c>
      <c r="H4" s="9">
        <v>100</v>
      </c>
      <c r="I4" s="10">
        <f t="shared" ref="I4:J4" si="0">IFERROR(E4/D4,"")</f>
        <v>0.56899999999999995</v>
      </c>
      <c r="J4" s="10">
        <f t="shared" si="0"/>
        <v>0.4094903339191564</v>
      </c>
      <c r="K4" s="10">
        <f t="shared" ref="K4:K7" si="1">IFERROR(H4/G4,"")</f>
        <v>0.83333333333333337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11" t="s">
        <v>105</v>
      </c>
      <c r="B5" s="11" t="s">
        <v>103</v>
      </c>
      <c r="C5" s="11" t="s">
        <v>106</v>
      </c>
      <c r="D5" s="11">
        <v>1325</v>
      </c>
      <c r="E5" s="11">
        <v>1259</v>
      </c>
      <c r="F5" s="11">
        <v>169</v>
      </c>
      <c r="G5" s="11">
        <v>120</v>
      </c>
      <c r="H5" s="11">
        <v>100</v>
      </c>
      <c r="I5" s="10">
        <f t="shared" ref="I5:J5" si="2">IFERROR(E5/D5,"")</f>
        <v>0.95018867924528305</v>
      </c>
      <c r="J5" s="10">
        <f t="shared" si="2"/>
        <v>0.13423351866560762</v>
      </c>
      <c r="K5" s="10">
        <f t="shared" si="1"/>
        <v>0.83333333333333337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80" x14ac:dyDescent="0.2">
      <c r="A6" s="11" t="s">
        <v>107</v>
      </c>
      <c r="B6" s="11" t="s">
        <v>103</v>
      </c>
      <c r="C6" s="12" t="s">
        <v>108</v>
      </c>
      <c r="D6" s="11">
        <v>1597</v>
      </c>
      <c r="E6" s="11">
        <v>1429</v>
      </c>
      <c r="F6" s="11">
        <v>539</v>
      </c>
      <c r="G6" s="11">
        <v>140</v>
      </c>
      <c r="H6" s="11">
        <v>120</v>
      </c>
      <c r="I6" s="10">
        <f t="shared" ref="I6:J6" si="3">IFERROR(E6/D6,"")</f>
        <v>0.8948027551659361</v>
      </c>
      <c r="J6" s="10">
        <f t="shared" si="3"/>
        <v>0.37718684394681595</v>
      </c>
      <c r="K6" s="10">
        <f t="shared" si="1"/>
        <v>0.8571428571428571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64" x14ac:dyDescent="0.2">
      <c r="A7" s="11" t="s">
        <v>109</v>
      </c>
      <c r="B7" s="11" t="s">
        <v>110</v>
      </c>
      <c r="C7" s="12" t="s">
        <v>111</v>
      </c>
      <c r="D7" s="11">
        <v>1859</v>
      </c>
      <c r="E7" s="11">
        <v>1523</v>
      </c>
      <c r="F7" s="11">
        <v>672</v>
      </c>
      <c r="G7" s="11">
        <v>150</v>
      </c>
      <c r="H7" s="11">
        <v>120</v>
      </c>
      <c r="I7" s="10">
        <f t="shared" ref="I7:J7" si="4">IFERROR(E7/D7,"")</f>
        <v>0.81925766541151157</v>
      </c>
      <c r="J7" s="10">
        <f t="shared" si="4"/>
        <v>0.4412344057780696</v>
      </c>
      <c r="K7" s="10">
        <f t="shared" si="1"/>
        <v>0.8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80" x14ac:dyDescent="0.2">
      <c r="A8" s="11" t="s">
        <v>112</v>
      </c>
      <c r="B8" s="11" t="s">
        <v>110</v>
      </c>
      <c r="C8" s="12" t="s">
        <v>113</v>
      </c>
      <c r="D8" s="11">
        <v>2398</v>
      </c>
      <c r="E8" s="11">
        <v>2028</v>
      </c>
      <c r="F8" s="11">
        <v>1459</v>
      </c>
      <c r="G8" s="11">
        <v>140</v>
      </c>
      <c r="H8" s="11">
        <v>120</v>
      </c>
      <c r="I8" s="10"/>
      <c r="J8" s="10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80" x14ac:dyDescent="0.2">
      <c r="A9" s="11" t="s">
        <v>114</v>
      </c>
      <c r="B9" s="11" t="s">
        <v>110</v>
      </c>
      <c r="C9" s="12" t="s">
        <v>115</v>
      </c>
      <c r="D9" s="11">
        <v>4865</v>
      </c>
      <c r="E9" s="11">
        <v>3697</v>
      </c>
      <c r="F9" s="11">
        <v>896</v>
      </c>
      <c r="G9" s="11">
        <v>144</v>
      </c>
      <c r="H9" s="11">
        <v>120</v>
      </c>
      <c r="I9" s="10">
        <f t="shared" ref="I9:J9" si="5">IFERROR(E9/D9,"")</f>
        <v>0.75991778006166499</v>
      </c>
      <c r="J9" s="10">
        <f t="shared" si="5"/>
        <v>0.24235866919123614</v>
      </c>
      <c r="K9" s="10">
        <f t="shared" ref="K9:K12" si="6">IFERROR(H9/G9,"")</f>
        <v>0.83333333333333337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12" x14ac:dyDescent="0.2">
      <c r="A10" s="11" t="s">
        <v>116</v>
      </c>
      <c r="B10" s="11" t="s">
        <v>110</v>
      </c>
      <c r="C10" s="12" t="s">
        <v>117</v>
      </c>
      <c r="D10" s="11">
        <v>5320</v>
      </c>
      <c r="E10" s="11">
        <v>2590</v>
      </c>
      <c r="F10" s="11">
        <v>1459</v>
      </c>
      <c r="G10" s="11">
        <v>150</v>
      </c>
      <c r="H10" s="11">
        <v>120</v>
      </c>
      <c r="I10" s="10">
        <f t="shared" ref="I10:J10" si="7">IFERROR(E10/D10,"")</f>
        <v>0.48684210526315791</v>
      </c>
      <c r="J10" s="10">
        <f t="shared" si="7"/>
        <v>0.56332046332046337</v>
      </c>
      <c r="K10" s="10">
        <f t="shared" si="6"/>
        <v>0.8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80" x14ac:dyDescent="0.2">
      <c r="A11" s="11" t="s">
        <v>118</v>
      </c>
      <c r="B11" s="11" t="s">
        <v>110</v>
      </c>
      <c r="C11" s="12" t="s">
        <v>119</v>
      </c>
      <c r="D11" s="11">
        <v>5320</v>
      </c>
      <c r="E11" s="11">
        <v>2786</v>
      </c>
      <c r="F11" s="11">
        <v>2403</v>
      </c>
      <c r="G11" s="11">
        <v>150</v>
      </c>
      <c r="H11" s="11">
        <v>120</v>
      </c>
      <c r="I11" s="10">
        <f t="shared" ref="I11:J11" si="8">IFERROR(E11/D11,"")</f>
        <v>0.52368421052631575</v>
      </c>
      <c r="J11" s="10">
        <f t="shared" si="8"/>
        <v>0.86252692031586509</v>
      </c>
      <c r="K11" s="10">
        <f t="shared" si="6"/>
        <v>0.8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12" x14ac:dyDescent="0.2">
      <c r="A12" s="11" t="s">
        <v>120</v>
      </c>
      <c r="B12" s="11" t="s">
        <v>110</v>
      </c>
      <c r="C12" s="12" t="s">
        <v>121</v>
      </c>
      <c r="D12" s="11">
        <v>5320</v>
      </c>
      <c r="E12" s="11">
        <v>2968</v>
      </c>
      <c r="F12" s="11">
        <v>2637</v>
      </c>
      <c r="G12" s="11">
        <v>150</v>
      </c>
      <c r="H12" s="11">
        <v>120</v>
      </c>
      <c r="I12" s="10">
        <f t="shared" ref="I12:J12" si="9">IFERROR(E12/D12,"")</f>
        <v>0.55789473684210522</v>
      </c>
      <c r="J12" s="10">
        <f t="shared" si="9"/>
        <v>0.88847708894878707</v>
      </c>
      <c r="K12" s="10">
        <f t="shared" si="6"/>
        <v>0.8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2" x14ac:dyDescent="0.2">
      <c r="A13" s="11" t="s">
        <v>122</v>
      </c>
      <c r="B13" s="11" t="s">
        <v>110</v>
      </c>
      <c r="C13" s="12" t="s">
        <v>123</v>
      </c>
      <c r="D13" s="11">
        <v>9862</v>
      </c>
      <c r="E13" s="11">
        <v>3986</v>
      </c>
      <c r="F13" s="11">
        <v>2570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5" spans="1:26" ht="16" x14ac:dyDescent="0.2">
      <c r="A15" s="3" t="s">
        <v>124</v>
      </c>
    </row>
    <row r="16" spans="1:26" ht="64" x14ac:dyDescent="0.2">
      <c r="A16" s="2" t="s">
        <v>33</v>
      </c>
      <c r="B16" s="2" t="s">
        <v>34</v>
      </c>
    </row>
    <row r="17" spans="1:2" ht="112" x14ac:dyDescent="0.2">
      <c r="A17" s="2" t="s">
        <v>35</v>
      </c>
      <c r="B17" s="2" t="s">
        <v>125</v>
      </c>
    </row>
    <row r="18" spans="1:2" ht="64" x14ac:dyDescent="0.2">
      <c r="A18" s="2" t="s">
        <v>37</v>
      </c>
      <c r="B18" s="2" t="s">
        <v>38</v>
      </c>
    </row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A1:K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sqref="A1:G1"/>
    </sheetView>
  </sheetViews>
  <sheetFormatPr baseColWidth="10" defaultColWidth="14.5" defaultRowHeight="15" customHeight="1" x14ac:dyDescent="0.2"/>
  <cols>
    <col min="1" max="1" width="26" customWidth="1"/>
    <col min="2" max="2" width="28" customWidth="1"/>
    <col min="3" max="3" width="34" customWidth="1"/>
    <col min="4" max="4" width="14" customWidth="1"/>
    <col min="5" max="6" width="12" customWidth="1"/>
    <col min="7" max="7" width="26" customWidth="1"/>
    <col min="8" max="26" width="8.83203125" customWidth="1"/>
  </cols>
  <sheetData>
    <row r="1" spans="1:7" x14ac:dyDescent="0.2">
      <c r="A1" s="20" t="s">
        <v>126</v>
      </c>
      <c r="B1" s="21"/>
      <c r="C1" s="21"/>
      <c r="D1" s="21"/>
      <c r="E1" s="21"/>
      <c r="F1" s="21"/>
      <c r="G1" s="22"/>
    </row>
    <row r="3" spans="1:7" ht="16" x14ac:dyDescent="0.2">
      <c r="A3" s="1" t="s">
        <v>127</v>
      </c>
      <c r="B3" s="1" t="s">
        <v>128</v>
      </c>
      <c r="C3" s="1" t="s">
        <v>129</v>
      </c>
      <c r="D3" s="1" t="s">
        <v>130</v>
      </c>
      <c r="E3" s="1" t="s">
        <v>5</v>
      </c>
      <c r="F3" s="1" t="s">
        <v>131</v>
      </c>
      <c r="G3" s="1" t="s">
        <v>49</v>
      </c>
    </row>
    <row r="4" spans="1:7" ht="32" x14ac:dyDescent="0.2">
      <c r="A4" s="2" t="s">
        <v>132</v>
      </c>
      <c r="B4" s="5">
        <v>984</v>
      </c>
      <c r="C4" s="2" t="s">
        <v>133</v>
      </c>
      <c r="D4" s="2" t="s">
        <v>15</v>
      </c>
      <c r="E4" s="2" t="s">
        <v>134</v>
      </c>
      <c r="F4" s="2"/>
      <c r="G4" s="2"/>
    </row>
    <row r="5" spans="1:7" ht="80" x14ac:dyDescent="0.2">
      <c r="A5" s="2" t="s">
        <v>135</v>
      </c>
      <c r="B5" s="13" t="s">
        <v>136</v>
      </c>
      <c r="C5" s="2" t="s">
        <v>137</v>
      </c>
      <c r="D5" s="2" t="s">
        <v>15</v>
      </c>
      <c r="E5" s="2" t="s">
        <v>134</v>
      </c>
      <c r="F5" s="2"/>
      <c r="G5" s="2"/>
    </row>
    <row r="6" spans="1:7" ht="32" x14ac:dyDescent="0.2">
      <c r="A6" s="2" t="s">
        <v>138</v>
      </c>
      <c r="B6" s="13" t="s">
        <v>139</v>
      </c>
      <c r="C6" s="2" t="s">
        <v>140</v>
      </c>
      <c r="D6" s="2" t="s">
        <v>15</v>
      </c>
      <c r="E6" s="2" t="s">
        <v>134</v>
      </c>
      <c r="F6" s="2"/>
      <c r="G6" s="2"/>
    </row>
    <row r="7" spans="1:7" ht="48" x14ac:dyDescent="0.2">
      <c r="A7" s="2" t="s">
        <v>141</v>
      </c>
      <c r="B7" s="5">
        <v>19</v>
      </c>
      <c r="C7" s="2" t="s">
        <v>142</v>
      </c>
      <c r="D7" s="2" t="s">
        <v>15</v>
      </c>
      <c r="E7" s="2" t="s">
        <v>134</v>
      </c>
      <c r="F7" s="2"/>
      <c r="G7" s="2" t="s">
        <v>143</v>
      </c>
    </row>
    <row r="8" spans="1:7" ht="16" x14ac:dyDescent="0.2">
      <c r="A8" s="2" t="s">
        <v>144</v>
      </c>
      <c r="B8" s="13"/>
      <c r="C8" s="2" t="s">
        <v>145</v>
      </c>
      <c r="D8" s="2" t="s">
        <v>15</v>
      </c>
      <c r="E8" s="2" t="s">
        <v>134</v>
      </c>
      <c r="F8" s="2"/>
      <c r="G8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G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sqref="A1:G1"/>
    </sheetView>
  </sheetViews>
  <sheetFormatPr baseColWidth="10" defaultColWidth="14.5" defaultRowHeight="15" customHeight="1" x14ac:dyDescent="0.2"/>
  <cols>
    <col min="1" max="1" width="24" customWidth="1"/>
    <col min="2" max="2" width="26" customWidth="1"/>
    <col min="3" max="3" width="24" customWidth="1"/>
    <col min="4" max="4" width="22" customWidth="1"/>
    <col min="5" max="5" width="12" customWidth="1"/>
    <col min="6" max="7" width="24" customWidth="1"/>
    <col min="8" max="26" width="8.83203125" customWidth="1"/>
  </cols>
  <sheetData>
    <row r="1" spans="1:7" x14ac:dyDescent="0.2">
      <c r="A1" s="20" t="s">
        <v>146</v>
      </c>
      <c r="B1" s="21"/>
      <c r="C1" s="21"/>
      <c r="D1" s="21"/>
      <c r="E1" s="21"/>
      <c r="F1" s="21"/>
      <c r="G1" s="22"/>
    </row>
    <row r="2" spans="1:7" x14ac:dyDescent="0.2">
      <c r="B2" s="11"/>
    </row>
    <row r="3" spans="1:7" ht="32" x14ac:dyDescent="0.2">
      <c r="A3" s="1" t="s">
        <v>147</v>
      </c>
      <c r="B3" s="14" t="s">
        <v>148</v>
      </c>
      <c r="C3" s="1" t="s">
        <v>149</v>
      </c>
      <c r="D3" s="1" t="s">
        <v>150</v>
      </c>
      <c r="E3" s="1" t="s">
        <v>5</v>
      </c>
      <c r="F3" s="1" t="s">
        <v>49</v>
      </c>
      <c r="G3" s="1" t="s">
        <v>151</v>
      </c>
    </row>
    <row r="4" spans="1:7" ht="16" x14ac:dyDescent="0.2">
      <c r="A4" s="2" t="s">
        <v>152</v>
      </c>
      <c r="B4" s="5" t="s">
        <v>153</v>
      </c>
      <c r="C4" s="2" t="s">
        <v>154</v>
      </c>
      <c r="D4" s="2" t="s">
        <v>155</v>
      </c>
      <c r="E4" s="2" t="s">
        <v>134</v>
      </c>
      <c r="F4" s="2" t="s">
        <v>156</v>
      </c>
      <c r="G4" s="13"/>
    </row>
    <row r="5" spans="1:7" ht="48" x14ac:dyDescent="0.2">
      <c r="A5" s="2" t="s">
        <v>157</v>
      </c>
      <c r="B5" s="5" t="s">
        <v>158</v>
      </c>
      <c r="C5" s="2" t="s">
        <v>159</v>
      </c>
      <c r="D5" s="2" t="s">
        <v>160</v>
      </c>
      <c r="E5" s="2" t="s">
        <v>134</v>
      </c>
      <c r="F5" s="2"/>
      <c r="G5" s="13"/>
    </row>
    <row r="6" spans="1:7" ht="48" x14ac:dyDescent="0.2">
      <c r="A6" s="2" t="s">
        <v>161</v>
      </c>
      <c r="B6" s="5"/>
      <c r="C6" s="2" t="s">
        <v>162</v>
      </c>
      <c r="D6" s="2" t="s">
        <v>163</v>
      </c>
      <c r="E6" s="2" t="s">
        <v>134</v>
      </c>
      <c r="F6" s="2"/>
      <c r="G6" s="15" t="s">
        <v>164</v>
      </c>
    </row>
    <row r="7" spans="1:7" ht="16" x14ac:dyDescent="0.2">
      <c r="A7" s="2" t="s">
        <v>165</v>
      </c>
      <c r="B7" s="16">
        <v>0.155</v>
      </c>
      <c r="C7" s="2" t="s">
        <v>166</v>
      </c>
      <c r="D7" s="2" t="s">
        <v>167</v>
      </c>
      <c r="E7" s="2" t="s">
        <v>134</v>
      </c>
      <c r="F7" s="2"/>
      <c r="G7" s="13"/>
    </row>
    <row r="8" spans="1:7" ht="48" x14ac:dyDescent="0.2">
      <c r="A8" s="2" t="s">
        <v>168</v>
      </c>
      <c r="B8" s="5" t="s">
        <v>169</v>
      </c>
      <c r="C8" s="2" t="s">
        <v>170</v>
      </c>
      <c r="D8" s="2" t="s">
        <v>171</v>
      </c>
      <c r="E8" s="2" t="s">
        <v>134</v>
      </c>
      <c r="F8" s="2"/>
      <c r="G8" s="15" t="s">
        <v>164</v>
      </c>
    </row>
    <row r="9" spans="1:7" ht="48" x14ac:dyDescent="0.2">
      <c r="A9" s="2" t="s">
        <v>172</v>
      </c>
      <c r="B9" s="5"/>
      <c r="C9" s="2" t="s">
        <v>173</v>
      </c>
      <c r="D9" s="2" t="s">
        <v>174</v>
      </c>
      <c r="E9" s="2" t="s">
        <v>134</v>
      </c>
      <c r="F9" s="2" t="s">
        <v>175</v>
      </c>
      <c r="G9" s="13" t="s">
        <v>176</v>
      </c>
    </row>
    <row r="10" spans="1:7" ht="16" x14ac:dyDescent="0.2">
      <c r="A10" s="2" t="s">
        <v>177</v>
      </c>
      <c r="B10" s="5"/>
      <c r="C10" s="2" t="s">
        <v>162</v>
      </c>
      <c r="D10" s="2" t="s">
        <v>178</v>
      </c>
      <c r="E10" s="2" t="s">
        <v>134</v>
      </c>
      <c r="F10" s="2"/>
      <c r="G10" s="13"/>
    </row>
    <row r="11" spans="1:7" x14ac:dyDescent="0.2">
      <c r="B11" s="11"/>
    </row>
    <row r="12" spans="1:7" x14ac:dyDescent="0.2">
      <c r="B12" s="11"/>
    </row>
    <row r="13" spans="1:7" x14ac:dyDescent="0.2">
      <c r="B13" s="11"/>
    </row>
    <row r="14" spans="1:7" x14ac:dyDescent="0.2">
      <c r="B14" s="11"/>
    </row>
    <row r="15" spans="1:7" x14ac:dyDescent="0.2">
      <c r="B15" s="11"/>
    </row>
    <row r="16" spans="1:7" x14ac:dyDescent="0.2">
      <c r="B16" s="11"/>
    </row>
    <row r="17" spans="2:2" x14ac:dyDescent="0.2">
      <c r="B17" s="11"/>
    </row>
    <row r="18" spans="2:2" x14ac:dyDescent="0.2">
      <c r="B18" s="11"/>
    </row>
    <row r="19" spans="2:2" x14ac:dyDescent="0.2">
      <c r="B19" s="11"/>
    </row>
    <row r="20" spans="2:2" x14ac:dyDescent="0.2">
      <c r="B20" s="11"/>
    </row>
    <row r="21" spans="2:2" ht="15.75" customHeight="1" x14ac:dyDescent="0.2">
      <c r="B21" s="11"/>
    </row>
    <row r="22" spans="2:2" ht="15.75" customHeight="1" x14ac:dyDescent="0.2">
      <c r="B22" s="11"/>
    </row>
    <row r="23" spans="2:2" ht="15.75" customHeight="1" x14ac:dyDescent="0.2">
      <c r="B23" s="11"/>
    </row>
    <row r="24" spans="2:2" ht="15.75" customHeight="1" x14ac:dyDescent="0.2">
      <c r="B24" s="11"/>
    </row>
    <row r="25" spans="2:2" ht="15.75" customHeight="1" x14ac:dyDescent="0.2">
      <c r="B25" s="11"/>
    </row>
    <row r="26" spans="2:2" ht="15.75" customHeight="1" x14ac:dyDescent="0.2">
      <c r="B26" s="11"/>
    </row>
    <row r="27" spans="2:2" ht="15.75" customHeight="1" x14ac:dyDescent="0.2">
      <c r="B27" s="11"/>
    </row>
    <row r="28" spans="2:2" ht="15.75" customHeight="1" x14ac:dyDescent="0.2">
      <c r="B28" s="11"/>
    </row>
    <row r="29" spans="2:2" ht="15.75" customHeight="1" x14ac:dyDescent="0.2">
      <c r="B29" s="11"/>
    </row>
    <row r="30" spans="2:2" ht="15.75" customHeight="1" x14ac:dyDescent="0.2">
      <c r="B30" s="11"/>
    </row>
    <row r="31" spans="2:2" ht="15.75" customHeight="1" x14ac:dyDescent="0.2">
      <c r="B31" s="11"/>
    </row>
    <row r="32" spans="2:2" ht="15.75" customHeight="1" x14ac:dyDescent="0.2">
      <c r="B32" s="11"/>
    </row>
    <row r="33" spans="2:2" ht="15.75" customHeight="1" x14ac:dyDescent="0.2">
      <c r="B33" s="11"/>
    </row>
    <row r="34" spans="2:2" ht="15.75" customHeight="1" x14ac:dyDescent="0.2">
      <c r="B34" s="11"/>
    </row>
    <row r="35" spans="2:2" ht="15.75" customHeight="1" x14ac:dyDescent="0.2">
      <c r="B35" s="11"/>
    </row>
    <row r="36" spans="2:2" ht="15.75" customHeight="1" x14ac:dyDescent="0.2">
      <c r="B36" s="11"/>
    </row>
    <row r="37" spans="2:2" ht="15.75" customHeight="1" x14ac:dyDescent="0.2">
      <c r="B37" s="11"/>
    </row>
    <row r="38" spans="2:2" ht="15.75" customHeight="1" x14ac:dyDescent="0.2">
      <c r="B38" s="11"/>
    </row>
    <row r="39" spans="2:2" ht="15.75" customHeight="1" x14ac:dyDescent="0.2">
      <c r="B39" s="11"/>
    </row>
    <row r="40" spans="2:2" ht="15.75" customHeight="1" x14ac:dyDescent="0.2">
      <c r="B40" s="11"/>
    </row>
    <row r="41" spans="2:2" ht="15.75" customHeight="1" x14ac:dyDescent="0.2">
      <c r="B41" s="11"/>
    </row>
    <row r="42" spans="2:2" ht="15.75" customHeight="1" x14ac:dyDescent="0.2">
      <c r="B42" s="11"/>
    </row>
    <row r="43" spans="2:2" ht="15.75" customHeight="1" x14ac:dyDescent="0.2">
      <c r="B43" s="11"/>
    </row>
    <row r="44" spans="2:2" ht="15.75" customHeight="1" x14ac:dyDescent="0.2">
      <c r="B44" s="11"/>
    </row>
    <row r="45" spans="2:2" ht="15.75" customHeight="1" x14ac:dyDescent="0.2">
      <c r="B45" s="11"/>
    </row>
    <row r="46" spans="2:2" ht="15.75" customHeight="1" x14ac:dyDescent="0.2">
      <c r="B46" s="11"/>
    </row>
    <row r="47" spans="2:2" ht="15.75" customHeight="1" x14ac:dyDescent="0.2">
      <c r="B47" s="11"/>
    </row>
    <row r="48" spans="2:2" ht="15.75" customHeight="1" x14ac:dyDescent="0.2">
      <c r="B48" s="11"/>
    </row>
    <row r="49" spans="2:2" ht="15.75" customHeight="1" x14ac:dyDescent="0.2">
      <c r="B49" s="11"/>
    </row>
    <row r="50" spans="2:2" ht="15.75" customHeight="1" x14ac:dyDescent="0.2">
      <c r="B50" s="11"/>
    </row>
    <row r="51" spans="2:2" ht="15.75" customHeight="1" x14ac:dyDescent="0.2">
      <c r="B51" s="11"/>
    </row>
    <row r="52" spans="2:2" ht="15.75" customHeight="1" x14ac:dyDescent="0.2">
      <c r="B52" s="11"/>
    </row>
    <row r="53" spans="2:2" ht="15.75" customHeight="1" x14ac:dyDescent="0.2">
      <c r="B53" s="11"/>
    </row>
    <row r="54" spans="2:2" ht="15.75" customHeight="1" x14ac:dyDescent="0.2">
      <c r="B54" s="11"/>
    </row>
    <row r="55" spans="2:2" ht="15.75" customHeight="1" x14ac:dyDescent="0.2">
      <c r="B55" s="11"/>
    </row>
    <row r="56" spans="2:2" ht="15.75" customHeight="1" x14ac:dyDescent="0.2">
      <c r="B56" s="11"/>
    </row>
    <row r="57" spans="2:2" ht="15.75" customHeight="1" x14ac:dyDescent="0.2">
      <c r="B57" s="11"/>
    </row>
    <row r="58" spans="2:2" ht="15.75" customHeight="1" x14ac:dyDescent="0.2">
      <c r="B58" s="11"/>
    </row>
    <row r="59" spans="2:2" ht="15.75" customHeight="1" x14ac:dyDescent="0.2">
      <c r="B59" s="11"/>
    </row>
    <row r="60" spans="2:2" ht="15.75" customHeight="1" x14ac:dyDescent="0.2">
      <c r="B60" s="11"/>
    </row>
    <row r="61" spans="2:2" ht="15.75" customHeight="1" x14ac:dyDescent="0.2">
      <c r="B61" s="11"/>
    </row>
    <row r="62" spans="2:2" ht="15.75" customHeight="1" x14ac:dyDescent="0.2">
      <c r="B62" s="11"/>
    </row>
    <row r="63" spans="2:2" ht="15.75" customHeight="1" x14ac:dyDescent="0.2">
      <c r="B63" s="11"/>
    </row>
    <row r="64" spans="2:2" ht="15.75" customHeight="1" x14ac:dyDescent="0.2">
      <c r="B64" s="11"/>
    </row>
    <row r="65" spans="2:2" ht="15.75" customHeight="1" x14ac:dyDescent="0.2">
      <c r="B65" s="11"/>
    </row>
    <row r="66" spans="2:2" ht="15.75" customHeight="1" x14ac:dyDescent="0.2">
      <c r="B66" s="11"/>
    </row>
    <row r="67" spans="2:2" ht="15.75" customHeight="1" x14ac:dyDescent="0.2">
      <c r="B67" s="11"/>
    </row>
    <row r="68" spans="2:2" ht="15.75" customHeight="1" x14ac:dyDescent="0.2">
      <c r="B68" s="11"/>
    </row>
    <row r="69" spans="2:2" ht="15.75" customHeight="1" x14ac:dyDescent="0.2">
      <c r="B69" s="11"/>
    </row>
    <row r="70" spans="2:2" ht="15.75" customHeight="1" x14ac:dyDescent="0.2">
      <c r="B70" s="11"/>
    </row>
    <row r="71" spans="2:2" ht="15.75" customHeight="1" x14ac:dyDescent="0.2">
      <c r="B71" s="11"/>
    </row>
    <row r="72" spans="2:2" ht="15.75" customHeight="1" x14ac:dyDescent="0.2">
      <c r="B72" s="11"/>
    </row>
    <row r="73" spans="2:2" ht="15.75" customHeight="1" x14ac:dyDescent="0.2">
      <c r="B73" s="11"/>
    </row>
    <row r="74" spans="2:2" ht="15.75" customHeight="1" x14ac:dyDescent="0.2">
      <c r="B74" s="11"/>
    </row>
    <row r="75" spans="2:2" ht="15.75" customHeight="1" x14ac:dyDescent="0.2">
      <c r="B75" s="11"/>
    </row>
    <row r="76" spans="2:2" ht="15.75" customHeight="1" x14ac:dyDescent="0.2">
      <c r="B76" s="11"/>
    </row>
    <row r="77" spans="2:2" ht="15.75" customHeight="1" x14ac:dyDescent="0.2">
      <c r="B77" s="11"/>
    </row>
    <row r="78" spans="2:2" ht="15.75" customHeight="1" x14ac:dyDescent="0.2">
      <c r="B78" s="11"/>
    </row>
    <row r="79" spans="2:2" ht="15.75" customHeight="1" x14ac:dyDescent="0.2">
      <c r="B79" s="11"/>
    </row>
    <row r="80" spans="2:2" ht="15.75" customHeight="1" x14ac:dyDescent="0.2">
      <c r="B80" s="11"/>
    </row>
    <row r="81" spans="2:2" ht="15.75" customHeight="1" x14ac:dyDescent="0.2">
      <c r="B81" s="11"/>
    </row>
    <row r="82" spans="2:2" ht="15.75" customHeight="1" x14ac:dyDescent="0.2">
      <c r="B82" s="11"/>
    </row>
    <row r="83" spans="2:2" ht="15.75" customHeight="1" x14ac:dyDescent="0.2">
      <c r="B83" s="11"/>
    </row>
    <row r="84" spans="2:2" ht="15.75" customHeight="1" x14ac:dyDescent="0.2">
      <c r="B84" s="11"/>
    </row>
    <row r="85" spans="2:2" ht="15.75" customHeight="1" x14ac:dyDescent="0.2">
      <c r="B85" s="11"/>
    </row>
    <row r="86" spans="2:2" ht="15.75" customHeight="1" x14ac:dyDescent="0.2">
      <c r="B86" s="11"/>
    </row>
    <row r="87" spans="2:2" ht="15.75" customHeight="1" x14ac:dyDescent="0.2">
      <c r="B87" s="11"/>
    </row>
    <row r="88" spans="2:2" ht="15.75" customHeight="1" x14ac:dyDescent="0.2">
      <c r="B88" s="11"/>
    </row>
    <row r="89" spans="2:2" ht="15.75" customHeight="1" x14ac:dyDescent="0.2">
      <c r="B89" s="11"/>
    </row>
    <row r="90" spans="2:2" ht="15.75" customHeight="1" x14ac:dyDescent="0.2">
      <c r="B90" s="11"/>
    </row>
    <row r="91" spans="2:2" ht="15.75" customHeight="1" x14ac:dyDescent="0.2">
      <c r="B91" s="11"/>
    </row>
    <row r="92" spans="2:2" ht="15.75" customHeight="1" x14ac:dyDescent="0.2">
      <c r="B92" s="11"/>
    </row>
    <row r="93" spans="2:2" ht="15.75" customHeight="1" x14ac:dyDescent="0.2">
      <c r="B93" s="11"/>
    </row>
    <row r="94" spans="2:2" ht="15.75" customHeight="1" x14ac:dyDescent="0.2">
      <c r="B94" s="11"/>
    </row>
    <row r="95" spans="2:2" ht="15.75" customHeight="1" x14ac:dyDescent="0.2">
      <c r="B95" s="11"/>
    </row>
    <row r="96" spans="2:2" ht="15.75" customHeight="1" x14ac:dyDescent="0.2">
      <c r="B96" s="11"/>
    </row>
    <row r="97" spans="2:2" ht="15.75" customHeight="1" x14ac:dyDescent="0.2">
      <c r="B97" s="11"/>
    </row>
    <row r="98" spans="2:2" ht="15.75" customHeight="1" x14ac:dyDescent="0.2">
      <c r="B98" s="11"/>
    </row>
    <row r="99" spans="2:2" ht="15.75" customHeight="1" x14ac:dyDescent="0.2">
      <c r="B99" s="11"/>
    </row>
    <row r="100" spans="2:2" ht="15.75" customHeight="1" x14ac:dyDescent="0.2">
      <c r="B100" s="11"/>
    </row>
    <row r="101" spans="2:2" ht="15.75" customHeight="1" x14ac:dyDescent="0.2">
      <c r="B101" s="11"/>
    </row>
    <row r="102" spans="2:2" ht="15.75" customHeight="1" x14ac:dyDescent="0.2">
      <c r="B102" s="11"/>
    </row>
    <row r="103" spans="2:2" ht="15.75" customHeight="1" x14ac:dyDescent="0.2">
      <c r="B103" s="11"/>
    </row>
    <row r="104" spans="2:2" ht="15.75" customHeight="1" x14ac:dyDescent="0.2">
      <c r="B104" s="11"/>
    </row>
    <row r="105" spans="2:2" ht="15.75" customHeight="1" x14ac:dyDescent="0.2">
      <c r="B105" s="11"/>
    </row>
    <row r="106" spans="2:2" ht="15.75" customHeight="1" x14ac:dyDescent="0.2">
      <c r="B106" s="11"/>
    </row>
    <row r="107" spans="2:2" ht="15.75" customHeight="1" x14ac:dyDescent="0.2">
      <c r="B107" s="11"/>
    </row>
    <row r="108" spans="2:2" ht="15.75" customHeight="1" x14ac:dyDescent="0.2">
      <c r="B108" s="11"/>
    </row>
    <row r="109" spans="2:2" ht="15.75" customHeight="1" x14ac:dyDescent="0.2">
      <c r="B109" s="11"/>
    </row>
    <row r="110" spans="2:2" ht="15.75" customHeight="1" x14ac:dyDescent="0.2">
      <c r="B110" s="11"/>
    </row>
    <row r="111" spans="2:2" ht="15.75" customHeight="1" x14ac:dyDescent="0.2">
      <c r="B111" s="11"/>
    </row>
    <row r="112" spans="2:2" ht="15.75" customHeight="1" x14ac:dyDescent="0.2">
      <c r="B112" s="11"/>
    </row>
    <row r="113" spans="2:2" ht="15.75" customHeight="1" x14ac:dyDescent="0.2">
      <c r="B113" s="11"/>
    </row>
    <row r="114" spans="2:2" ht="15.75" customHeight="1" x14ac:dyDescent="0.2">
      <c r="B114" s="11"/>
    </row>
    <row r="115" spans="2:2" ht="15.75" customHeight="1" x14ac:dyDescent="0.2">
      <c r="B115" s="11"/>
    </row>
    <row r="116" spans="2:2" ht="15.75" customHeight="1" x14ac:dyDescent="0.2">
      <c r="B116" s="11"/>
    </row>
    <row r="117" spans="2:2" ht="15.75" customHeight="1" x14ac:dyDescent="0.2">
      <c r="B117" s="11"/>
    </row>
    <row r="118" spans="2:2" ht="15.75" customHeight="1" x14ac:dyDescent="0.2">
      <c r="B118" s="11"/>
    </row>
    <row r="119" spans="2:2" ht="15.75" customHeight="1" x14ac:dyDescent="0.2">
      <c r="B119" s="11"/>
    </row>
    <row r="120" spans="2:2" ht="15.75" customHeight="1" x14ac:dyDescent="0.2">
      <c r="B120" s="11"/>
    </row>
    <row r="121" spans="2:2" ht="15.75" customHeight="1" x14ac:dyDescent="0.2">
      <c r="B121" s="11"/>
    </row>
    <row r="122" spans="2:2" ht="15.75" customHeight="1" x14ac:dyDescent="0.2">
      <c r="B122" s="11"/>
    </row>
    <row r="123" spans="2:2" ht="15.75" customHeight="1" x14ac:dyDescent="0.2">
      <c r="B123" s="11"/>
    </row>
    <row r="124" spans="2:2" ht="15.75" customHeight="1" x14ac:dyDescent="0.2">
      <c r="B124" s="11"/>
    </row>
    <row r="125" spans="2:2" ht="15.75" customHeight="1" x14ac:dyDescent="0.2">
      <c r="B125" s="11"/>
    </row>
    <row r="126" spans="2:2" ht="15.75" customHeight="1" x14ac:dyDescent="0.2">
      <c r="B126" s="11"/>
    </row>
    <row r="127" spans="2:2" ht="15.75" customHeight="1" x14ac:dyDescent="0.2">
      <c r="B127" s="11"/>
    </row>
    <row r="128" spans="2:2" ht="15.75" customHeight="1" x14ac:dyDescent="0.2">
      <c r="B128" s="11"/>
    </row>
    <row r="129" spans="2:2" ht="15.75" customHeight="1" x14ac:dyDescent="0.2">
      <c r="B129" s="11"/>
    </row>
    <row r="130" spans="2:2" ht="15.75" customHeight="1" x14ac:dyDescent="0.2">
      <c r="B130" s="11"/>
    </row>
    <row r="131" spans="2:2" ht="15.75" customHeight="1" x14ac:dyDescent="0.2">
      <c r="B131" s="11"/>
    </row>
    <row r="132" spans="2:2" ht="15.75" customHeight="1" x14ac:dyDescent="0.2">
      <c r="B132" s="11"/>
    </row>
    <row r="133" spans="2:2" ht="15.75" customHeight="1" x14ac:dyDescent="0.2">
      <c r="B133" s="11"/>
    </row>
    <row r="134" spans="2:2" ht="15.75" customHeight="1" x14ac:dyDescent="0.2">
      <c r="B134" s="11"/>
    </row>
    <row r="135" spans="2:2" ht="15.75" customHeight="1" x14ac:dyDescent="0.2">
      <c r="B135" s="11"/>
    </row>
    <row r="136" spans="2:2" ht="15.75" customHeight="1" x14ac:dyDescent="0.2">
      <c r="B136" s="11"/>
    </row>
    <row r="137" spans="2:2" ht="15.75" customHeight="1" x14ac:dyDescent="0.2">
      <c r="B137" s="11"/>
    </row>
    <row r="138" spans="2:2" ht="15.75" customHeight="1" x14ac:dyDescent="0.2">
      <c r="B138" s="11"/>
    </row>
    <row r="139" spans="2:2" ht="15.75" customHeight="1" x14ac:dyDescent="0.2">
      <c r="B139" s="11"/>
    </row>
    <row r="140" spans="2:2" ht="15.75" customHeight="1" x14ac:dyDescent="0.2">
      <c r="B140" s="11"/>
    </row>
    <row r="141" spans="2:2" ht="15.75" customHeight="1" x14ac:dyDescent="0.2">
      <c r="B141" s="11"/>
    </row>
    <row r="142" spans="2:2" ht="15.75" customHeight="1" x14ac:dyDescent="0.2">
      <c r="B142" s="11"/>
    </row>
    <row r="143" spans="2:2" ht="15.75" customHeight="1" x14ac:dyDescent="0.2">
      <c r="B143" s="11"/>
    </row>
    <row r="144" spans="2:2" ht="15.75" customHeight="1" x14ac:dyDescent="0.2">
      <c r="B144" s="11"/>
    </row>
    <row r="145" spans="2:2" ht="15.75" customHeight="1" x14ac:dyDescent="0.2">
      <c r="B145" s="11"/>
    </row>
    <row r="146" spans="2:2" ht="15.75" customHeight="1" x14ac:dyDescent="0.2">
      <c r="B146" s="11"/>
    </row>
    <row r="147" spans="2:2" ht="15.75" customHeight="1" x14ac:dyDescent="0.2">
      <c r="B147" s="11"/>
    </row>
    <row r="148" spans="2:2" ht="15.75" customHeight="1" x14ac:dyDescent="0.2">
      <c r="B148" s="11"/>
    </row>
    <row r="149" spans="2:2" ht="15.75" customHeight="1" x14ac:dyDescent="0.2">
      <c r="B149" s="11"/>
    </row>
    <row r="150" spans="2:2" ht="15.75" customHeight="1" x14ac:dyDescent="0.2">
      <c r="B150" s="11"/>
    </row>
    <row r="151" spans="2:2" ht="15.75" customHeight="1" x14ac:dyDescent="0.2">
      <c r="B151" s="11"/>
    </row>
    <row r="152" spans="2:2" ht="15.75" customHeight="1" x14ac:dyDescent="0.2">
      <c r="B152" s="11"/>
    </row>
    <row r="153" spans="2:2" ht="15.75" customHeight="1" x14ac:dyDescent="0.2">
      <c r="B153" s="11"/>
    </row>
    <row r="154" spans="2:2" ht="15.75" customHeight="1" x14ac:dyDescent="0.2">
      <c r="B154" s="11"/>
    </row>
    <row r="155" spans="2:2" ht="15.75" customHeight="1" x14ac:dyDescent="0.2">
      <c r="B155" s="11"/>
    </row>
    <row r="156" spans="2:2" ht="15.75" customHeight="1" x14ac:dyDescent="0.2">
      <c r="B156" s="11"/>
    </row>
    <row r="157" spans="2:2" ht="15.75" customHeight="1" x14ac:dyDescent="0.2">
      <c r="B157" s="11"/>
    </row>
    <row r="158" spans="2:2" ht="15.75" customHeight="1" x14ac:dyDescent="0.2">
      <c r="B158" s="11"/>
    </row>
    <row r="159" spans="2:2" ht="15.75" customHeight="1" x14ac:dyDescent="0.2">
      <c r="B159" s="11"/>
    </row>
    <row r="160" spans="2:2" ht="15.75" customHeight="1" x14ac:dyDescent="0.2">
      <c r="B160" s="11"/>
    </row>
    <row r="161" spans="2:2" ht="15.75" customHeight="1" x14ac:dyDescent="0.2">
      <c r="B161" s="11"/>
    </row>
    <row r="162" spans="2:2" ht="15.75" customHeight="1" x14ac:dyDescent="0.2">
      <c r="B162" s="11"/>
    </row>
    <row r="163" spans="2:2" ht="15.75" customHeight="1" x14ac:dyDescent="0.2">
      <c r="B163" s="11"/>
    </row>
    <row r="164" spans="2:2" ht="15.75" customHeight="1" x14ac:dyDescent="0.2">
      <c r="B164" s="11"/>
    </row>
    <row r="165" spans="2:2" ht="15.75" customHeight="1" x14ac:dyDescent="0.2">
      <c r="B165" s="11"/>
    </row>
    <row r="166" spans="2:2" ht="15.75" customHeight="1" x14ac:dyDescent="0.2">
      <c r="B166" s="11"/>
    </row>
    <row r="167" spans="2:2" ht="15.75" customHeight="1" x14ac:dyDescent="0.2">
      <c r="B167" s="11"/>
    </row>
    <row r="168" spans="2:2" ht="15.75" customHeight="1" x14ac:dyDescent="0.2">
      <c r="B168" s="11"/>
    </row>
    <row r="169" spans="2:2" ht="15.75" customHeight="1" x14ac:dyDescent="0.2">
      <c r="B169" s="11"/>
    </row>
    <row r="170" spans="2:2" ht="15.75" customHeight="1" x14ac:dyDescent="0.2">
      <c r="B170" s="11"/>
    </row>
    <row r="171" spans="2:2" ht="15.75" customHeight="1" x14ac:dyDescent="0.2">
      <c r="B171" s="11"/>
    </row>
    <row r="172" spans="2:2" ht="15.75" customHeight="1" x14ac:dyDescent="0.2">
      <c r="B172" s="11"/>
    </row>
    <row r="173" spans="2:2" ht="15.75" customHeight="1" x14ac:dyDescent="0.2">
      <c r="B173" s="11"/>
    </row>
    <row r="174" spans="2:2" ht="15.75" customHeight="1" x14ac:dyDescent="0.2">
      <c r="B174" s="11"/>
    </row>
    <row r="175" spans="2:2" ht="15.75" customHeight="1" x14ac:dyDescent="0.2">
      <c r="B175" s="11"/>
    </row>
    <row r="176" spans="2:2" ht="15.75" customHeight="1" x14ac:dyDescent="0.2">
      <c r="B176" s="11"/>
    </row>
    <row r="177" spans="2:2" ht="15.75" customHeight="1" x14ac:dyDescent="0.2">
      <c r="B177" s="11"/>
    </row>
    <row r="178" spans="2:2" ht="15.75" customHeight="1" x14ac:dyDescent="0.2">
      <c r="B178" s="11"/>
    </row>
    <row r="179" spans="2:2" ht="15.75" customHeight="1" x14ac:dyDescent="0.2">
      <c r="B179" s="11"/>
    </row>
    <row r="180" spans="2:2" ht="15.75" customHeight="1" x14ac:dyDescent="0.2">
      <c r="B180" s="11"/>
    </row>
    <row r="181" spans="2:2" ht="15.75" customHeight="1" x14ac:dyDescent="0.2">
      <c r="B181" s="11"/>
    </row>
    <row r="182" spans="2:2" ht="15.75" customHeight="1" x14ac:dyDescent="0.2">
      <c r="B182" s="11"/>
    </row>
    <row r="183" spans="2:2" ht="15.75" customHeight="1" x14ac:dyDescent="0.2">
      <c r="B183" s="11"/>
    </row>
    <row r="184" spans="2:2" ht="15.75" customHeight="1" x14ac:dyDescent="0.2">
      <c r="B184" s="11"/>
    </row>
    <row r="185" spans="2:2" ht="15.75" customHeight="1" x14ac:dyDescent="0.2">
      <c r="B185" s="11"/>
    </row>
    <row r="186" spans="2:2" ht="15.75" customHeight="1" x14ac:dyDescent="0.2">
      <c r="B186" s="11"/>
    </row>
    <row r="187" spans="2:2" ht="15.75" customHeight="1" x14ac:dyDescent="0.2">
      <c r="B187" s="11"/>
    </row>
    <row r="188" spans="2:2" ht="15.75" customHeight="1" x14ac:dyDescent="0.2">
      <c r="B188" s="11"/>
    </row>
    <row r="189" spans="2:2" ht="15.75" customHeight="1" x14ac:dyDescent="0.2">
      <c r="B189" s="11"/>
    </row>
    <row r="190" spans="2:2" ht="15.75" customHeight="1" x14ac:dyDescent="0.2">
      <c r="B190" s="11"/>
    </row>
    <row r="191" spans="2:2" ht="15.75" customHeight="1" x14ac:dyDescent="0.2">
      <c r="B191" s="11"/>
    </row>
    <row r="192" spans="2:2" ht="15.75" customHeight="1" x14ac:dyDescent="0.2">
      <c r="B192" s="11"/>
    </row>
    <row r="193" spans="2:2" ht="15.75" customHeight="1" x14ac:dyDescent="0.2">
      <c r="B193" s="11"/>
    </row>
    <row r="194" spans="2:2" ht="15.75" customHeight="1" x14ac:dyDescent="0.2">
      <c r="B194" s="11"/>
    </row>
    <row r="195" spans="2:2" ht="15.75" customHeight="1" x14ac:dyDescent="0.2">
      <c r="B195" s="11"/>
    </row>
    <row r="196" spans="2:2" ht="15.75" customHeight="1" x14ac:dyDescent="0.2">
      <c r="B196" s="11"/>
    </row>
    <row r="197" spans="2:2" ht="15.75" customHeight="1" x14ac:dyDescent="0.2">
      <c r="B197" s="11"/>
    </row>
    <row r="198" spans="2:2" ht="15.75" customHeight="1" x14ac:dyDescent="0.2">
      <c r="B198" s="11"/>
    </row>
    <row r="199" spans="2:2" ht="15.75" customHeight="1" x14ac:dyDescent="0.2">
      <c r="B199" s="11"/>
    </row>
    <row r="200" spans="2:2" ht="15.75" customHeight="1" x14ac:dyDescent="0.2">
      <c r="B200" s="11"/>
    </row>
    <row r="201" spans="2:2" ht="15.75" customHeight="1" x14ac:dyDescent="0.2">
      <c r="B201" s="11"/>
    </row>
    <row r="202" spans="2:2" ht="15.75" customHeight="1" x14ac:dyDescent="0.2">
      <c r="B202" s="11"/>
    </row>
    <row r="203" spans="2:2" ht="15.75" customHeight="1" x14ac:dyDescent="0.2">
      <c r="B203" s="11"/>
    </row>
    <row r="204" spans="2:2" ht="15.75" customHeight="1" x14ac:dyDescent="0.2">
      <c r="B204" s="11"/>
    </row>
    <row r="205" spans="2:2" ht="15.75" customHeight="1" x14ac:dyDescent="0.2">
      <c r="B205" s="11"/>
    </row>
    <row r="206" spans="2:2" ht="15.75" customHeight="1" x14ac:dyDescent="0.2">
      <c r="B206" s="11"/>
    </row>
    <row r="207" spans="2:2" ht="15.75" customHeight="1" x14ac:dyDescent="0.2">
      <c r="B207" s="11"/>
    </row>
    <row r="208" spans="2:2" ht="15.75" customHeight="1" x14ac:dyDescent="0.2">
      <c r="B208" s="11"/>
    </row>
    <row r="209" spans="2:2" ht="15.75" customHeight="1" x14ac:dyDescent="0.2">
      <c r="B209" s="11"/>
    </row>
    <row r="210" spans="2:2" ht="15.75" customHeight="1" x14ac:dyDescent="0.2">
      <c r="B210" s="11"/>
    </row>
    <row r="211" spans="2:2" ht="15.75" customHeight="1" x14ac:dyDescent="0.2">
      <c r="B211" s="11"/>
    </row>
    <row r="212" spans="2:2" ht="15.75" customHeight="1" x14ac:dyDescent="0.2">
      <c r="B212" s="11"/>
    </row>
    <row r="213" spans="2:2" ht="15.75" customHeight="1" x14ac:dyDescent="0.2">
      <c r="B213" s="11"/>
    </row>
    <row r="214" spans="2:2" ht="15.75" customHeight="1" x14ac:dyDescent="0.2">
      <c r="B214" s="11"/>
    </row>
    <row r="215" spans="2:2" ht="15.75" customHeight="1" x14ac:dyDescent="0.2">
      <c r="B215" s="11"/>
    </row>
    <row r="216" spans="2:2" ht="15.75" customHeight="1" x14ac:dyDescent="0.2">
      <c r="B216" s="11"/>
    </row>
    <row r="217" spans="2:2" ht="15.75" customHeight="1" x14ac:dyDescent="0.2">
      <c r="B217" s="11"/>
    </row>
    <row r="218" spans="2:2" ht="15.75" customHeight="1" x14ac:dyDescent="0.2">
      <c r="B218" s="11"/>
    </row>
    <row r="219" spans="2:2" ht="15.75" customHeight="1" x14ac:dyDescent="0.2">
      <c r="B219" s="11"/>
    </row>
    <row r="220" spans="2:2" ht="15.75" customHeight="1" x14ac:dyDescent="0.2">
      <c r="B220" s="11"/>
    </row>
    <row r="221" spans="2:2" ht="15.75" customHeight="1" x14ac:dyDescent="0.2">
      <c r="B221" s="11"/>
    </row>
    <row r="222" spans="2:2" ht="15.75" customHeight="1" x14ac:dyDescent="0.2">
      <c r="B222" s="11"/>
    </row>
    <row r="223" spans="2:2" ht="15.75" customHeight="1" x14ac:dyDescent="0.2">
      <c r="B223" s="11"/>
    </row>
    <row r="224" spans="2:2" ht="15.75" customHeight="1" x14ac:dyDescent="0.2">
      <c r="B224" s="11"/>
    </row>
    <row r="225" spans="2:2" ht="15.75" customHeight="1" x14ac:dyDescent="0.2">
      <c r="B225" s="11"/>
    </row>
    <row r="226" spans="2:2" ht="15.75" customHeight="1" x14ac:dyDescent="0.2">
      <c r="B226" s="11"/>
    </row>
    <row r="227" spans="2:2" ht="15.75" customHeight="1" x14ac:dyDescent="0.2">
      <c r="B227" s="11"/>
    </row>
    <row r="228" spans="2:2" ht="15.75" customHeight="1" x14ac:dyDescent="0.2">
      <c r="B228" s="11"/>
    </row>
    <row r="229" spans="2:2" ht="15.75" customHeight="1" x14ac:dyDescent="0.2">
      <c r="B229" s="11"/>
    </row>
    <row r="230" spans="2:2" ht="15.75" customHeight="1" x14ac:dyDescent="0.2">
      <c r="B230" s="11"/>
    </row>
    <row r="231" spans="2:2" ht="15.75" customHeight="1" x14ac:dyDescent="0.2">
      <c r="B231" s="11"/>
    </row>
    <row r="232" spans="2:2" ht="15.75" customHeight="1" x14ac:dyDescent="0.2">
      <c r="B232" s="11"/>
    </row>
    <row r="233" spans="2:2" ht="15.75" customHeight="1" x14ac:dyDescent="0.2">
      <c r="B233" s="11"/>
    </row>
    <row r="234" spans="2:2" ht="15.75" customHeight="1" x14ac:dyDescent="0.2">
      <c r="B234" s="11"/>
    </row>
    <row r="235" spans="2:2" ht="15.75" customHeight="1" x14ac:dyDescent="0.2">
      <c r="B235" s="11"/>
    </row>
    <row r="236" spans="2:2" ht="15.75" customHeight="1" x14ac:dyDescent="0.2">
      <c r="B236" s="11"/>
    </row>
    <row r="237" spans="2:2" ht="15.75" customHeight="1" x14ac:dyDescent="0.2">
      <c r="B237" s="11"/>
    </row>
    <row r="238" spans="2:2" ht="15.75" customHeight="1" x14ac:dyDescent="0.2">
      <c r="B238" s="11"/>
    </row>
    <row r="239" spans="2:2" ht="15.75" customHeight="1" x14ac:dyDescent="0.2">
      <c r="B239" s="11"/>
    </row>
    <row r="240" spans="2:2" ht="15.75" customHeight="1" x14ac:dyDescent="0.2">
      <c r="B240" s="11"/>
    </row>
    <row r="241" spans="2:2" ht="15.75" customHeight="1" x14ac:dyDescent="0.2">
      <c r="B241" s="11"/>
    </row>
    <row r="242" spans="2:2" ht="15.75" customHeight="1" x14ac:dyDescent="0.2">
      <c r="B242" s="11"/>
    </row>
    <row r="243" spans="2:2" ht="15.75" customHeight="1" x14ac:dyDescent="0.2">
      <c r="B243" s="11"/>
    </row>
    <row r="244" spans="2:2" ht="15.75" customHeight="1" x14ac:dyDescent="0.2">
      <c r="B244" s="11"/>
    </row>
    <row r="245" spans="2:2" ht="15.75" customHeight="1" x14ac:dyDescent="0.2">
      <c r="B245" s="11"/>
    </row>
    <row r="246" spans="2:2" ht="15.75" customHeight="1" x14ac:dyDescent="0.2">
      <c r="B246" s="11"/>
    </row>
    <row r="247" spans="2:2" ht="15.75" customHeight="1" x14ac:dyDescent="0.2">
      <c r="B247" s="11"/>
    </row>
    <row r="248" spans="2:2" ht="15.75" customHeight="1" x14ac:dyDescent="0.2">
      <c r="B248" s="11"/>
    </row>
    <row r="249" spans="2:2" ht="15.75" customHeight="1" x14ac:dyDescent="0.2">
      <c r="B249" s="11"/>
    </row>
    <row r="250" spans="2:2" ht="15.75" customHeight="1" x14ac:dyDescent="0.2">
      <c r="B250" s="11"/>
    </row>
    <row r="251" spans="2:2" ht="15.75" customHeight="1" x14ac:dyDescent="0.2">
      <c r="B251" s="11"/>
    </row>
    <row r="252" spans="2:2" ht="15.75" customHeight="1" x14ac:dyDescent="0.2">
      <c r="B252" s="11"/>
    </row>
    <row r="253" spans="2:2" ht="15.75" customHeight="1" x14ac:dyDescent="0.2">
      <c r="B253" s="11"/>
    </row>
    <row r="254" spans="2:2" ht="15.75" customHeight="1" x14ac:dyDescent="0.2">
      <c r="B254" s="11"/>
    </row>
    <row r="255" spans="2:2" ht="15.75" customHeight="1" x14ac:dyDescent="0.2">
      <c r="B255" s="11"/>
    </row>
    <row r="256" spans="2:2" ht="15.75" customHeight="1" x14ac:dyDescent="0.2">
      <c r="B256" s="11"/>
    </row>
    <row r="257" spans="2:2" ht="15.75" customHeight="1" x14ac:dyDescent="0.2">
      <c r="B257" s="11"/>
    </row>
    <row r="258" spans="2:2" ht="15.75" customHeight="1" x14ac:dyDescent="0.2">
      <c r="B258" s="11"/>
    </row>
    <row r="259" spans="2:2" ht="15.75" customHeight="1" x14ac:dyDescent="0.2">
      <c r="B259" s="11"/>
    </row>
    <row r="260" spans="2:2" ht="15.75" customHeight="1" x14ac:dyDescent="0.2">
      <c r="B260" s="11"/>
    </row>
    <row r="261" spans="2:2" ht="15.75" customHeight="1" x14ac:dyDescent="0.2">
      <c r="B261" s="11"/>
    </row>
    <row r="262" spans="2:2" ht="15.75" customHeight="1" x14ac:dyDescent="0.2">
      <c r="B262" s="11"/>
    </row>
    <row r="263" spans="2:2" ht="15.75" customHeight="1" x14ac:dyDescent="0.2">
      <c r="B263" s="11"/>
    </row>
    <row r="264" spans="2:2" ht="15.75" customHeight="1" x14ac:dyDescent="0.2">
      <c r="B264" s="11"/>
    </row>
    <row r="265" spans="2:2" ht="15.75" customHeight="1" x14ac:dyDescent="0.2">
      <c r="B265" s="11"/>
    </row>
    <row r="266" spans="2:2" ht="15.75" customHeight="1" x14ac:dyDescent="0.2">
      <c r="B266" s="11"/>
    </row>
    <row r="267" spans="2:2" ht="15.75" customHeight="1" x14ac:dyDescent="0.2">
      <c r="B267" s="11"/>
    </row>
    <row r="268" spans="2:2" ht="15.75" customHeight="1" x14ac:dyDescent="0.2">
      <c r="B268" s="11"/>
    </row>
    <row r="269" spans="2:2" ht="15.75" customHeight="1" x14ac:dyDescent="0.2">
      <c r="B269" s="11"/>
    </row>
    <row r="270" spans="2:2" ht="15.75" customHeight="1" x14ac:dyDescent="0.2">
      <c r="B270" s="11"/>
    </row>
    <row r="271" spans="2:2" ht="15.75" customHeight="1" x14ac:dyDescent="0.2">
      <c r="B271" s="11"/>
    </row>
    <row r="272" spans="2:2" ht="15.75" customHeight="1" x14ac:dyDescent="0.2">
      <c r="B272" s="11"/>
    </row>
    <row r="273" spans="2:2" ht="15.75" customHeight="1" x14ac:dyDescent="0.2">
      <c r="B273" s="11"/>
    </row>
    <row r="274" spans="2:2" ht="15.75" customHeight="1" x14ac:dyDescent="0.2">
      <c r="B274" s="11"/>
    </row>
    <row r="275" spans="2:2" ht="15.75" customHeight="1" x14ac:dyDescent="0.2">
      <c r="B275" s="11"/>
    </row>
    <row r="276" spans="2:2" ht="15.75" customHeight="1" x14ac:dyDescent="0.2">
      <c r="B276" s="11"/>
    </row>
    <row r="277" spans="2:2" ht="15.75" customHeight="1" x14ac:dyDescent="0.2">
      <c r="B277" s="11"/>
    </row>
    <row r="278" spans="2:2" ht="15.75" customHeight="1" x14ac:dyDescent="0.2">
      <c r="B278" s="11"/>
    </row>
    <row r="279" spans="2:2" ht="15.75" customHeight="1" x14ac:dyDescent="0.2">
      <c r="B279" s="11"/>
    </row>
    <row r="280" spans="2:2" ht="15.75" customHeight="1" x14ac:dyDescent="0.2">
      <c r="B280" s="11"/>
    </row>
    <row r="281" spans="2:2" ht="15.75" customHeight="1" x14ac:dyDescent="0.2">
      <c r="B281" s="11"/>
    </row>
    <row r="282" spans="2:2" ht="15.75" customHeight="1" x14ac:dyDescent="0.2">
      <c r="B282" s="11"/>
    </row>
    <row r="283" spans="2:2" ht="15.75" customHeight="1" x14ac:dyDescent="0.2">
      <c r="B283" s="11"/>
    </row>
    <row r="284" spans="2:2" ht="15.75" customHeight="1" x14ac:dyDescent="0.2">
      <c r="B284" s="11"/>
    </row>
    <row r="285" spans="2:2" ht="15.75" customHeight="1" x14ac:dyDescent="0.2">
      <c r="B285" s="11"/>
    </row>
    <row r="286" spans="2:2" ht="15.75" customHeight="1" x14ac:dyDescent="0.2">
      <c r="B286" s="11"/>
    </row>
    <row r="287" spans="2:2" ht="15.75" customHeight="1" x14ac:dyDescent="0.2">
      <c r="B287" s="11"/>
    </row>
    <row r="288" spans="2:2" ht="15.75" customHeight="1" x14ac:dyDescent="0.2">
      <c r="B288" s="11"/>
    </row>
    <row r="289" spans="2:2" ht="15.75" customHeight="1" x14ac:dyDescent="0.2">
      <c r="B289" s="11"/>
    </row>
    <row r="290" spans="2:2" ht="15.75" customHeight="1" x14ac:dyDescent="0.2">
      <c r="B290" s="11"/>
    </row>
    <row r="291" spans="2:2" ht="15.75" customHeight="1" x14ac:dyDescent="0.2">
      <c r="B291" s="11"/>
    </row>
    <row r="292" spans="2:2" ht="15.75" customHeight="1" x14ac:dyDescent="0.2">
      <c r="B292" s="11"/>
    </row>
    <row r="293" spans="2:2" ht="15.75" customHeight="1" x14ac:dyDescent="0.2">
      <c r="B293" s="11"/>
    </row>
    <row r="294" spans="2:2" ht="15.75" customHeight="1" x14ac:dyDescent="0.2">
      <c r="B294" s="11"/>
    </row>
    <row r="295" spans="2:2" ht="15.75" customHeight="1" x14ac:dyDescent="0.2">
      <c r="B295" s="11"/>
    </row>
    <row r="296" spans="2:2" ht="15.75" customHeight="1" x14ac:dyDescent="0.2">
      <c r="B296" s="11"/>
    </row>
    <row r="297" spans="2:2" ht="15.75" customHeight="1" x14ac:dyDescent="0.2">
      <c r="B297" s="11"/>
    </row>
    <row r="298" spans="2:2" ht="15.75" customHeight="1" x14ac:dyDescent="0.2">
      <c r="B298" s="11"/>
    </row>
    <row r="299" spans="2:2" ht="15.75" customHeight="1" x14ac:dyDescent="0.2">
      <c r="B299" s="11"/>
    </row>
    <row r="300" spans="2:2" ht="15.75" customHeight="1" x14ac:dyDescent="0.2">
      <c r="B300" s="11"/>
    </row>
    <row r="301" spans="2:2" ht="15.75" customHeight="1" x14ac:dyDescent="0.2">
      <c r="B301" s="11"/>
    </row>
    <row r="302" spans="2:2" ht="15.75" customHeight="1" x14ac:dyDescent="0.2">
      <c r="B302" s="11"/>
    </row>
    <row r="303" spans="2:2" ht="15.75" customHeight="1" x14ac:dyDescent="0.2">
      <c r="B303" s="11"/>
    </row>
    <row r="304" spans="2:2" ht="15.75" customHeight="1" x14ac:dyDescent="0.2">
      <c r="B304" s="11"/>
    </row>
    <row r="305" spans="2:2" ht="15.75" customHeight="1" x14ac:dyDescent="0.2">
      <c r="B305" s="11"/>
    </row>
    <row r="306" spans="2:2" ht="15.75" customHeight="1" x14ac:dyDescent="0.2">
      <c r="B306" s="11"/>
    </row>
    <row r="307" spans="2:2" ht="15.75" customHeight="1" x14ac:dyDescent="0.2">
      <c r="B307" s="11"/>
    </row>
    <row r="308" spans="2:2" ht="15.75" customHeight="1" x14ac:dyDescent="0.2">
      <c r="B308" s="11"/>
    </row>
    <row r="309" spans="2:2" ht="15.75" customHeight="1" x14ac:dyDescent="0.2">
      <c r="B309" s="11"/>
    </row>
    <row r="310" spans="2:2" ht="15.75" customHeight="1" x14ac:dyDescent="0.2">
      <c r="B310" s="11"/>
    </row>
    <row r="311" spans="2:2" ht="15.75" customHeight="1" x14ac:dyDescent="0.2">
      <c r="B311" s="11"/>
    </row>
    <row r="312" spans="2:2" ht="15.75" customHeight="1" x14ac:dyDescent="0.2">
      <c r="B312" s="11"/>
    </row>
    <row r="313" spans="2:2" ht="15.75" customHeight="1" x14ac:dyDescent="0.2">
      <c r="B313" s="11"/>
    </row>
    <row r="314" spans="2:2" ht="15.75" customHeight="1" x14ac:dyDescent="0.2">
      <c r="B314" s="11"/>
    </row>
    <row r="315" spans="2:2" ht="15.75" customHeight="1" x14ac:dyDescent="0.2">
      <c r="B315" s="11"/>
    </row>
    <row r="316" spans="2:2" ht="15.75" customHeight="1" x14ac:dyDescent="0.2">
      <c r="B316" s="11"/>
    </row>
    <row r="317" spans="2:2" ht="15.75" customHeight="1" x14ac:dyDescent="0.2">
      <c r="B317" s="11"/>
    </row>
    <row r="318" spans="2:2" ht="15.75" customHeight="1" x14ac:dyDescent="0.2">
      <c r="B318" s="11"/>
    </row>
    <row r="319" spans="2:2" ht="15.75" customHeight="1" x14ac:dyDescent="0.2">
      <c r="B319" s="11"/>
    </row>
    <row r="320" spans="2:2" ht="15.75" customHeight="1" x14ac:dyDescent="0.2">
      <c r="B320" s="11"/>
    </row>
    <row r="321" spans="2:2" ht="15.75" customHeight="1" x14ac:dyDescent="0.2">
      <c r="B321" s="11"/>
    </row>
    <row r="322" spans="2:2" ht="15.75" customHeight="1" x14ac:dyDescent="0.2">
      <c r="B322" s="11"/>
    </row>
    <row r="323" spans="2:2" ht="15.75" customHeight="1" x14ac:dyDescent="0.2">
      <c r="B323" s="11"/>
    </row>
    <row r="324" spans="2:2" ht="15.75" customHeight="1" x14ac:dyDescent="0.2">
      <c r="B324" s="11"/>
    </row>
    <row r="325" spans="2:2" ht="15.75" customHeight="1" x14ac:dyDescent="0.2">
      <c r="B325" s="11"/>
    </row>
    <row r="326" spans="2:2" ht="15.75" customHeight="1" x14ac:dyDescent="0.2">
      <c r="B326" s="11"/>
    </row>
    <row r="327" spans="2:2" ht="15.75" customHeight="1" x14ac:dyDescent="0.2">
      <c r="B327" s="11"/>
    </row>
    <row r="328" spans="2:2" ht="15.75" customHeight="1" x14ac:dyDescent="0.2">
      <c r="B328" s="11"/>
    </row>
    <row r="329" spans="2:2" ht="15.75" customHeight="1" x14ac:dyDescent="0.2">
      <c r="B329" s="11"/>
    </row>
    <row r="330" spans="2:2" ht="15.75" customHeight="1" x14ac:dyDescent="0.2">
      <c r="B330" s="11"/>
    </row>
    <row r="331" spans="2:2" ht="15.75" customHeight="1" x14ac:dyDescent="0.2">
      <c r="B331" s="11"/>
    </row>
    <row r="332" spans="2:2" ht="15.75" customHeight="1" x14ac:dyDescent="0.2">
      <c r="B332" s="11"/>
    </row>
    <row r="333" spans="2:2" ht="15.75" customHeight="1" x14ac:dyDescent="0.2">
      <c r="B333" s="11"/>
    </row>
    <row r="334" spans="2:2" ht="15.75" customHeight="1" x14ac:dyDescent="0.2">
      <c r="B334" s="11"/>
    </row>
    <row r="335" spans="2:2" ht="15.75" customHeight="1" x14ac:dyDescent="0.2">
      <c r="B335" s="11"/>
    </row>
    <row r="336" spans="2:2" ht="15.75" customHeight="1" x14ac:dyDescent="0.2">
      <c r="B336" s="11"/>
    </row>
    <row r="337" spans="2:2" ht="15.75" customHeight="1" x14ac:dyDescent="0.2">
      <c r="B337" s="11"/>
    </row>
    <row r="338" spans="2:2" ht="15.75" customHeight="1" x14ac:dyDescent="0.2">
      <c r="B338" s="11"/>
    </row>
    <row r="339" spans="2:2" ht="15.75" customHeight="1" x14ac:dyDescent="0.2">
      <c r="B339" s="11"/>
    </row>
    <row r="340" spans="2:2" ht="15.75" customHeight="1" x14ac:dyDescent="0.2">
      <c r="B340" s="11"/>
    </row>
    <row r="341" spans="2:2" ht="15.75" customHeight="1" x14ac:dyDescent="0.2">
      <c r="B341" s="11"/>
    </row>
    <row r="342" spans="2:2" ht="15.75" customHeight="1" x14ac:dyDescent="0.2">
      <c r="B342" s="11"/>
    </row>
    <row r="343" spans="2:2" ht="15.75" customHeight="1" x14ac:dyDescent="0.2">
      <c r="B343" s="11"/>
    </row>
    <row r="344" spans="2:2" ht="15.75" customHeight="1" x14ac:dyDescent="0.2">
      <c r="B344" s="11"/>
    </row>
    <row r="345" spans="2:2" ht="15.75" customHeight="1" x14ac:dyDescent="0.2">
      <c r="B345" s="11"/>
    </row>
    <row r="346" spans="2:2" ht="15.75" customHeight="1" x14ac:dyDescent="0.2">
      <c r="B346" s="11"/>
    </row>
    <row r="347" spans="2:2" ht="15.75" customHeight="1" x14ac:dyDescent="0.2">
      <c r="B347" s="11"/>
    </row>
    <row r="348" spans="2:2" ht="15.75" customHeight="1" x14ac:dyDescent="0.2">
      <c r="B348" s="11"/>
    </row>
    <row r="349" spans="2:2" ht="15.75" customHeight="1" x14ac:dyDescent="0.2">
      <c r="B349" s="11"/>
    </row>
    <row r="350" spans="2:2" ht="15.75" customHeight="1" x14ac:dyDescent="0.2">
      <c r="B350" s="11"/>
    </row>
    <row r="351" spans="2:2" ht="15.75" customHeight="1" x14ac:dyDescent="0.2">
      <c r="B351" s="11"/>
    </row>
    <row r="352" spans="2:2" ht="15.75" customHeight="1" x14ac:dyDescent="0.2">
      <c r="B352" s="11"/>
    </row>
    <row r="353" spans="2:2" ht="15.75" customHeight="1" x14ac:dyDescent="0.2">
      <c r="B353" s="11"/>
    </row>
    <row r="354" spans="2:2" ht="15.75" customHeight="1" x14ac:dyDescent="0.2">
      <c r="B354" s="11"/>
    </row>
    <row r="355" spans="2:2" ht="15.75" customHeight="1" x14ac:dyDescent="0.2">
      <c r="B355" s="11"/>
    </row>
    <row r="356" spans="2:2" ht="15.75" customHeight="1" x14ac:dyDescent="0.2">
      <c r="B356" s="11"/>
    </row>
    <row r="357" spans="2:2" ht="15.75" customHeight="1" x14ac:dyDescent="0.2">
      <c r="B357" s="11"/>
    </row>
    <row r="358" spans="2:2" ht="15.75" customHeight="1" x14ac:dyDescent="0.2">
      <c r="B358" s="11"/>
    </row>
    <row r="359" spans="2:2" ht="15.75" customHeight="1" x14ac:dyDescent="0.2">
      <c r="B359" s="11"/>
    </row>
    <row r="360" spans="2:2" ht="15.75" customHeight="1" x14ac:dyDescent="0.2">
      <c r="B360" s="11"/>
    </row>
    <row r="361" spans="2:2" ht="15.75" customHeight="1" x14ac:dyDescent="0.2">
      <c r="B361" s="11"/>
    </row>
    <row r="362" spans="2:2" ht="15.75" customHeight="1" x14ac:dyDescent="0.2">
      <c r="B362" s="11"/>
    </row>
    <row r="363" spans="2:2" ht="15.75" customHeight="1" x14ac:dyDescent="0.2">
      <c r="B363" s="11"/>
    </row>
    <row r="364" spans="2:2" ht="15.75" customHeight="1" x14ac:dyDescent="0.2">
      <c r="B364" s="11"/>
    </row>
    <row r="365" spans="2:2" ht="15.75" customHeight="1" x14ac:dyDescent="0.2">
      <c r="B365" s="11"/>
    </row>
    <row r="366" spans="2:2" ht="15.75" customHeight="1" x14ac:dyDescent="0.2">
      <c r="B366" s="11"/>
    </row>
    <row r="367" spans="2:2" ht="15.75" customHeight="1" x14ac:dyDescent="0.2">
      <c r="B367" s="11"/>
    </row>
    <row r="368" spans="2:2" ht="15.75" customHeight="1" x14ac:dyDescent="0.2">
      <c r="B368" s="11"/>
    </row>
    <row r="369" spans="2:2" ht="15.75" customHeight="1" x14ac:dyDescent="0.2">
      <c r="B369" s="11"/>
    </row>
    <row r="370" spans="2:2" ht="15.75" customHeight="1" x14ac:dyDescent="0.2">
      <c r="B370" s="11"/>
    </row>
    <row r="371" spans="2:2" ht="15.75" customHeight="1" x14ac:dyDescent="0.2">
      <c r="B371" s="11"/>
    </row>
    <row r="372" spans="2:2" ht="15.75" customHeight="1" x14ac:dyDescent="0.2">
      <c r="B372" s="11"/>
    </row>
    <row r="373" spans="2:2" ht="15.75" customHeight="1" x14ac:dyDescent="0.2">
      <c r="B373" s="11"/>
    </row>
    <row r="374" spans="2:2" ht="15.75" customHeight="1" x14ac:dyDescent="0.2">
      <c r="B374" s="11"/>
    </row>
    <row r="375" spans="2:2" ht="15.75" customHeight="1" x14ac:dyDescent="0.2">
      <c r="B375" s="11"/>
    </row>
    <row r="376" spans="2:2" ht="15.75" customHeight="1" x14ac:dyDescent="0.2">
      <c r="B376" s="11"/>
    </row>
    <row r="377" spans="2:2" ht="15.75" customHeight="1" x14ac:dyDescent="0.2">
      <c r="B377" s="11"/>
    </row>
    <row r="378" spans="2:2" ht="15.75" customHeight="1" x14ac:dyDescent="0.2">
      <c r="B378" s="11"/>
    </row>
    <row r="379" spans="2:2" ht="15.75" customHeight="1" x14ac:dyDescent="0.2">
      <c r="B379" s="11"/>
    </row>
    <row r="380" spans="2:2" ht="15.75" customHeight="1" x14ac:dyDescent="0.2">
      <c r="B380" s="11"/>
    </row>
    <row r="381" spans="2:2" ht="15.75" customHeight="1" x14ac:dyDescent="0.2">
      <c r="B381" s="11"/>
    </row>
    <row r="382" spans="2:2" ht="15.75" customHeight="1" x14ac:dyDescent="0.2">
      <c r="B382" s="11"/>
    </row>
    <row r="383" spans="2:2" ht="15.75" customHeight="1" x14ac:dyDescent="0.2">
      <c r="B383" s="11"/>
    </row>
    <row r="384" spans="2:2" ht="15.75" customHeight="1" x14ac:dyDescent="0.2">
      <c r="B384" s="11"/>
    </row>
    <row r="385" spans="2:2" ht="15.75" customHeight="1" x14ac:dyDescent="0.2">
      <c r="B385" s="11"/>
    </row>
    <row r="386" spans="2:2" ht="15.75" customHeight="1" x14ac:dyDescent="0.2">
      <c r="B386" s="11"/>
    </row>
    <row r="387" spans="2:2" ht="15.75" customHeight="1" x14ac:dyDescent="0.2">
      <c r="B387" s="11"/>
    </row>
    <row r="388" spans="2:2" ht="15.75" customHeight="1" x14ac:dyDescent="0.2">
      <c r="B388" s="11"/>
    </row>
    <row r="389" spans="2:2" ht="15.75" customHeight="1" x14ac:dyDescent="0.2">
      <c r="B389" s="11"/>
    </row>
    <row r="390" spans="2:2" ht="15.75" customHeight="1" x14ac:dyDescent="0.2">
      <c r="B390" s="11"/>
    </row>
    <row r="391" spans="2:2" ht="15.75" customHeight="1" x14ac:dyDescent="0.2">
      <c r="B391" s="11"/>
    </row>
    <row r="392" spans="2:2" ht="15.75" customHeight="1" x14ac:dyDescent="0.2">
      <c r="B392" s="11"/>
    </row>
    <row r="393" spans="2:2" ht="15.75" customHeight="1" x14ac:dyDescent="0.2">
      <c r="B393" s="11"/>
    </row>
    <row r="394" spans="2:2" ht="15.75" customHeight="1" x14ac:dyDescent="0.2">
      <c r="B394" s="11"/>
    </row>
    <row r="395" spans="2:2" ht="15.75" customHeight="1" x14ac:dyDescent="0.2">
      <c r="B395" s="11"/>
    </row>
    <row r="396" spans="2:2" ht="15.75" customHeight="1" x14ac:dyDescent="0.2">
      <c r="B396" s="11"/>
    </row>
    <row r="397" spans="2:2" ht="15.75" customHeight="1" x14ac:dyDescent="0.2">
      <c r="B397" s="11"/>
    </row>
    <row r="398" spans="2:2" ht="15.75" customHeight="1" x14ac:dyDescent="0.2">
      <c r="B398" s="11"/>
    </row>
    <row r="399" spans="2:2" ht="15.75" customHeight="1" x14ac:dyDescent="0.2">
      <c r="B399" s="11"/>
    </row>
    <row r="400" spans="2:2" ht="15.75" customHeight="1" x14ac:dyDescent="0.2">
      <c r="B400" s="11"/>
    </row>
    <row r="401" spans="2:2" ht="15.75" customHeight="1" x14ac:dyDescent="0.2">
      <c r="B401" s="11"/>
    </row>
    <row r="402" spans="2:2" ht="15.75" customHeight="1" x14ac:dyDescent="0.2">
      <c r="B402" s="11"/>
    </row>
    <row r="403" spans="2:2" ht="15.75" customHeight="1" x14ac:dyDescent="0.2">
      <c r="B403" s="11"/>
    </row>
    <row r="404" spans="2:2" ht="15.75" customHeight="1" x14ac:dyDescent="0.2">
      <c r="B404" s="11"/>
    </row>
    <row r="405" spans="2:2" ht="15.75" customHeight="1" x14ac:dyDescent="0.2">
      <c r="B405" s="11"/>
    </row>
    <row r="406" spans="2:2" ht="15.75" customHeight="1" x14ac:dyDescent="0.2">
      <c r="B406" s="11"/>
    </row>
    <row r="407" spans="2:2" ht="15.75" customHeight="1" x14ac:dyDescent="0.2">
      <c r="B407" s="11"/>
    </row>
    <row r="408" spans="2:2" ht="15.75" customHeight="1" x14ac:dyDescent="0.2">
      <c r="B408" s="11"/>
    </row>
    <row r="409" spans="2:2" ht="15.75" customHeight="1" x14ac:dyDescent="0.2">
      <c r="B409" s="11"/>
    </row>
    <row r="410" spans="2:2" ht="15.75" customHeight="1" x14ac:dyDescent="0.2">
      <c r="B410" s="11"/>
    </row>
    <row r="411" spans="2:2" ht="15.75" customHeight="1" x14ac:dyDescent="0.2">
      <c r="B411" s="11"/>
    </row>
    <row r="412" spans="2:2" ht="15.75" customHeight="1" x14ac:dyDescent="0.2">
      <c r="B412" s="11"/>
    </row>
    <row r="413" spans="2:2" ht="15.75" customHeight="1" x14ac:dyDescent="0.2">
      <c r="B413" s="11"/>
    </row>
    <row r="414" spans="2:2" ht="15.75" customHeight="1" x14ac:dyDescent="0.2">
      <c r="B414" s="11"/>
    </row>
    <row r="415" spans="2:2" ht="15.75" customHeight="1" x14ac:dyDescent="0.2">
      <c r="B415" s="11"/>
    </row>
    <row r="416" spans="2:2" ht="15.75" customHeight="1" x14ac:dyDescent="0.2">
      <c r="B416" s="11"/>
    </row>
    <row r="417" spans="2:2" ht="15.75" customHeight="1" x14ac:dyDescent="0.2">
      <c r="B417" s="11"/>
    </row>
    <row r="418" spans="2:2" ht="15.75" customHeight="1" x14ac:dyDescent="0.2">
      <c r="B418" s="11"/>
    </row>
    <row r="419" spans="2:2" ht="15.75" customHeight="1" x14ac:dyDescent="0.2">
      <c r="B419" s="11"/>
    </row>
    <row r="420" spans="2:2" ht="15.75" customHeight="1" x14ac:dyDescent="0.2">
      <c r="B420" s="11"/>
    </row>
    <row r="421" spans="2:2" ht="15.75" customHeight="1" x14ac:dyDescent="0.2">
      <c r="B421" s="11"/>
    </row>
    <row r="422" spans="2:2" ht="15.75" customHeight="1" x14ac:dyDescent="0.2">
      <c r="B422" s="11"/>
    </row>
    <row r="423" spans="2:2" ht="15.75" customHeight="1" x14ac:dyDescent="0.2">
      <c r="B423" s="11"/>
    </row>
    <row r="424" spans="2:2" ht="15.75" customHeight="1" x14ac:dyDescent="0.2">
      <c r="B424" s="11"/>
    </row>
    <row r="425" spans="2:2" ht="15.75" customHeight="1" x14ac:dyDescent="0.2">
      <c r="B425" s="11"/>
    </row>
    <row r="426" spans="2:2" ht="15.75" customHeight="1" x14ac:dyDescent="0.2">
      <c r="B426" s="11"/>
    </row>
    <row r="427" spans="2:2" ht="15.75" customHeight="1" x14ac:dyDescent="0.2">
      <c r="B427" s="11"/>
    </row>
    <row r="428" spans="2:2" ht="15.75" customHeight="1" x14ac:dyDescent="0.2">
      <c r="B428" s="11"/>
    </row>
    <row r="429" spans="2:2" ht="15.75" customHeight="1" x14ac:dyDescent="0.2">
      <c r="B429" s="11"/>
    </row>
    <row r="430" spans="2:2" ht="15.75" customHeight="1" x14ac:dyDescent="0.2">
      <c r="B430" s="11"/>
    </row>
    <row r="431" spans="2:2" ht="15.75" customHeight="1" x14ac:dyDescent="0.2">
      <c r="B431" s="11"/>
    </row>
    <row r="432" spans="2:2" ht="15.75" customHeight="1" x14ac:dyDescent="0.2">
      <c r="B432" s="11"/>
    </row>
    <row r="433" spans="2:2" ht="15.75" customHeight="1" x14ac:dyDescent="0.2">
      <c r="B433" s="11"/>
    </row>
    <row r="434" spans="2:2" ht="15.75" customHeight="1" x14ac:dyDescent="0.2">
      <c r="B434" s="11"/>
    </row>
    <row r="435" spans="2:2" ht="15.75" customHeight="1" x14ac:dyDescent="0.2">
      <c r="B435" s="11"/>
    </row>
    <row r="436" spans="2:2" ht="15.75" customHeight="1" x14ac:dyDescent="0.2">
      <c r="B436" s="11"/>
    </row>
    <row r="437" spans="2:2" ht="15.75" customHeight="1" x14ac:dyDescent="0.2">
      <c r="B437" s="11"/>
    </row>
    <row r="438" spans="2:2" ht="15.75" customHeight="1" x14ac:dyDescent="0.2">
      <c r="B438" s="11"/>
    </row>
    <row r="439" spans="2:2" ht="15.75" customHeight="1" x14ac:dyDescent="0.2">
      <c r="B439" s="11"/>
    </row>
    <row r="440" spans="2:2" ht="15.75" customHeight="1" x14ac:dyDescent="0.2">
      <c r="B440" s="11"/>
    </row>
    <row r="441" spans="2:2" ht="15.75" customHeight="1" x14ac:dyDescent="0.2">
      <c r="B441" s="11"/>
    </row>
    <row r="442" spans="2:2" ht="15.75" customHeight="1" x14ac:dyDescent="0.2">
      <c r="B442" s="11"/>
    </row>
    <row r="443" spans="2:2" ht="15.75" customHeight="1" x14ac:dyDescent="0.2">
      <c r="B443" s="11"/>
    </row>
    <row r="444" spans="2:2" ht="15.75" customHeight="1" x14ac:dyDescent="0.2">
      <c r="B444" s="11"/>
    </row>
    <row r="445" spans="2:2" ht="15.75" customHeight="1" x14ac:dyDescent="0.2">
      <c r="B445" s="11"/>
    </row>
    <row r="446" spans="2:2" ht="15.75" customHeight="1" x14ac:dyDescent="0.2">
      <c r="B446" s="11"/>
    </row>
    <row r="447" spans="2:2" ht="15.75" customHeight="1" x14ac:dyDescent="0.2">
      <c r="B447" s="11"/>
    </row>
    <row r="448" spans="2:2" ht="15.75" customHeight="1" x14ac:dyDescent="0.2">
      <c r="B448" s="11"/>
    </row>
    <row r="449" spans="2:2" ht="15.75" customHeight="1" x14ac:dyDescent="0.2">
      <c r="B449" s="11"/>
    </row>
    <row r="450" spans="2:2" ht="15.75" customHeight="1" x14ac:dyDescent="0.2">
      <c r="B450" s="11"/>
    </row>
    <row r="451" spans="2:2" ht="15.75" customHeight="1" x14ac:dyDescent="0.2">
      <c r="B451" s="11"/>
    </row>
    <row r="452" spans="2:2" ht="15.75" customHeight="1" x14ac:dyDescent="0.2">
      <c r="B452" s="11"/>
    </row>
    <row r="453" spans="2:2" ht="15.75" customHeight="1" x14ac:dyDescent="0.2">
      <c r="B453" s="11"/>
    </row>
    <row r="454" spans="2:2" ht="15.75" customHeight="1" x14ac:dyDescent="0.2">
      <c r="B454" s="11"/>
    </row>
    <row r="455" spans="2:2" ht="15.75" customHeight="1" x14ac:dyDescent="0.2">
      <c r="B455" s="11"/>
    </row>
    <row r="456" spans="2:2" ht="15.75" customHeight="1" x14ac:dyDescent="0.2">
      <c r="B456" s="11"/>
    </row>
    <row r="457" spans="2:2" ht="15.75" customHeight="1" x14ac:dyDescent="0.2">
      <c r="B457" s="11"/>
    </row>
    <row r="458" spans="2:2" ht="15.75" customHeight="1" x14ac:dyDescent="0.2">
      <c r="B458" s="11"/>
    </row>
    <row r="459" spans="2:2" ht="15.75" customHeight="1" x14ac:dyDescent="0.2">
      <c r="B459" s="11"/>
    </row>
    <row r="460" spans="2:2" ht="15.75" customHeight="1" x14ac:dyDescent="0.2">
      <c r="B460" s="11"/>
    </row>
    <row r="461" spans="2:2" ht="15.75" customHeight="1" x14ac:dyDescent="0.2">
      <c r="B461" s="11"/>
    </row>
    <row r="462" spans="2:2" ht="15.75" customHeight="1" x14ac:dyDescent="0.2">
      <c r="B462" s="11"/>
    </row>
    <row r="463" spans="2:2" ht="15.75" customHeight="1" x14ac:dyDescent="0.2">
      <c r="B463" s="11"/>
    </row>
    <row r="464" spans="2:2" ht="15.75" customHeight="1" x14ac:dyDescent="0.2">
      <c r="B464" s="11"/>
    </row>
    <row r="465" spans="2:2" ht="15.75" customHeight="1" x14ac:dyDescent="0.2">
      <c r="B465" s="11"/>
    </row>
    <row r="466" spans="2:2" ht="15.75" customHeight="1" x14ac:dyDescent="0.2">
      <c r="B466" s="11"/>
    </row>
    <row r="467" spans="2:2" ht="15.75" customHeight="1" x14ac:dyDescent="0.2">
      <c r="B467" s="11"/>
    </row>
    <row r="468" spans="2:2" ht="15.75" customHeight="1" x14ac:dyDescent="0.2">
      <c r="B468" s="11"/>
    </row>
    <row r="469" spans="2:2" ht="15.75" customHeight="1" x14ac:dyDescent="0.2">
      <c r="B469" s="11"/>
    </row>
    <row r="470" spans="2:2" ht="15.75" customHeight="1" x14ac:dyDescent="0.2">
      <c r="B470" s="11"/>
    </row>
    <row r="471" spans="2:2" ht="15.75" customHeight="1" x14ac:dyDescent="0.2">
      <c r="B471" s="11"/>
    </row>
    <row r="472" spans="2:2" ht="15.75" customHeight="1" x14ac:dyDescent="0.2">
      <c r="B472" s="11"/>
    </row>
    <row r="473" spans="2:2" ht="15.75" customHeight="1" x14ac:dyDescent="0.2">
      <c r="B473" s="11"/>
    </row>
    <row r="474" spans="2:2" ht="15.75" customHeight="1" x14ac:dyDescent="0.2">
      <c r="B474" s="11"/>
    </row>
    <row r="475" spans="2:2" ht="15.75" customHeight="1" x14ac:dyDescent="0.2">
      <c r="B475" s="11"/>
    </row>
    <row r="476" spans="2:2" ht="15.75" customHeight="1" x14ac:dyDescent="0.2">
      <c r="B476" s="11"/>
    </row>
    <row r="477" spans="2:2" ht="15.75" customHeight="1" x14ac:dyDescent="0.2">
      <c r="B477" s="11"/>
    </row>
    <row r="478" spans="2:2" ht="15.75" customHeight="1" x14ac:dyDescent="0.2">
      <c r="B478" s="11"/>
    </row>
    <row r="479" spans="2:2" ht="15.75" customHeight="1" x14ac:dyDescent="0.2">
      <c r="B479" s="11"/>
    </row>
    <row r="480" spans="2:2" ht="15.75" customHeight="1" x14ac:dyDescent="0.2">
      <c r="B480" s="11"/>
    </row>
    <row r="481" spans="2:2" ht="15.75" customHeight="1" x14ac:dyDescent="0.2">
      <c r="B481" s="11"/>
    </row>
    <row r="482" spans="2:2" ht="15.75" customHeight="1" x14ac:dyDescent="0.2">
      <c r="B482" s="11"/>
    </row>
    <row r="483" spans="2:2" ht="15.75" customHeight="1" x14ac:dyDescent="0.2">
      <c r="B483" s="11"/>
    </row>
    <row r="484" spans="2:2" ht="15.75" customHeight="1" x14ac:dyDescent="0.2">
      <c r="B484" s="11"/>
    </row>
    <row r="485" spans="2:2" ht="15.75" customHeight="1" x14ac:dyDescent="0.2">
      <c r="B485" s="11"/>
    </row>
    <row r="486" spans="2:2" ht="15.75" customHeight="1" x14ac:dyDescent="0.2">
      <c r="B486" s="11"/>
    </row>
    <row r="487" spans="2:2" ht="15.75" customHeight="1" x14ac:dyDescent="0.2">
      <c r="B487" s="11"/>
    </row>
    <row r="488" spans="2:2" ht="15.75" customHeight="1" x14ac:dyDescent="0.2">
      <c r="B488" s="11"/>
    </row>
    <row r="489" spans="2:2" ht="15.75" customHeight="1" x14ac:dyDescent="0.2">
      <c r="B489" s="11"/>
    </row>
    <row r="490" spans="2:2" ht="15.75" customHeight="1" x14ac:dyDescent="0.2">
      <c r="B490" s="11"/>
    </row>
    <row r="491" spans="2:2" ht="15.75" customHeight="1" x14ac:dyDescent="0.2">
      <c r="B491" s="11"/>
    </row>
    <row r="492" spans="2:2" ht="15.75" customHeight="1" x14ac:dyDescent="0.2">
      <c r="B492" s="11"/>
    </row>
    <row r="493" spans="2:2" ht="15.75" customHeight="1" x14ac:dyDescent="0.2">
      <c r="B493" s="11"/>
    </row>
    <row r="494" spans="2:2" ht="15.75" customHeight="1" x14ac:dyDescent="0.2">
      <c r="B494" s="11"/>
    </row>
    <row r="495" spans="2:2" ht="15.75" customHeight="1" x14ac:dyDescent="0.2">
      <c r="B495" s="11"/>
    </row>
    <row r="496" spans="2:2" ht="15.75" customHeight="1" x14ac:dyDescent="0.2">
      <c r="B496" s="11"/>
    </row>
    <row r="497" spans="2:2" ht="15.75" customHeight="1" x14ac:dyDescent="0.2">
      <c r="B497" s="11"/>
    </row>
    <row r="498" spans="2:2" ht="15.75" customHeight="1" x14ac:dyDescent="0.2">
      <c r="B498" s="11"/>
    </row>
    <row r="499" spans="2:2" ht="15.75" customHeight="1" x14ac:dyDescent="0.2">
      <c r="B499" s="11"/>
    </row>
    <row r="500" spans="2:2" ht="15.75" customHeight="1" x14ac:dyDescent="0.2">
      <c r="B500" s="11"/>
    </row>
    <row r="501" spans="2:2" ht="15.75" customHeight="1" x14ac:dyDescent="0.2">
      <c r="B501" s="11"/>
    </row>
    <row r="502" spans="2:2" ht="15.75" customHeight="1" x14ac:dyDescent="0.2">
      <c r="B502" s="11"/>
    </row>
    <row r="503" spans="2:2" ht="15.75" customHeight="1" x14ac:dyDescent="0.2">
      <c r="B503" s="11"/>
    </row>
    <row r="504" spans="2:2" ht="15.75" customHeight="1" x14ac:dyDescent="0.2">
      <c r="B504" s="11"/>
    </row>
    <row r="505" spans="2:2" ht="15.75" customHeight="1" x14ac:dyDescent="0.2">
      <c r="B505" s="11"/>
    </row>
    <row r="506" spans="2:2" ht="15.75" customHeight="1" x14ac:dyDescent="0.2">
      <c r="B506" s="11"/>
    </row>
    <row r="507" spans="2:2" ht="15.75" customHeight="1" x14ac:dyDescent="0.2">
      <c r="B507" s="11"/>
    </row>
    <row r="508" spans="2:2" ht="15.75" customHeight="1" x14ac:dyDescent="0.2">
      <c r="B508" s="11"/>
    </row>
    <row r="509" spans="2:2" ht="15.75" customHeight="1" x14ac:dyDescent="0.2">
      <c r="B509" s="11"/>
    </row>
    <row r="510" spans="2:2" ht="15.75" customHeight="1" x14ac:dyDescent="0.2">
      <c r="B510" s="11"/>
    </row>
    <row r="511" spans="2:2" ht="15.75" customHeight="1" x14ac:dyDescent="0.2">
      <c r="B511" s="11"/>
    </row>
    <row r="512" spans="2:2" ht="15.75" customHeight="1" x14ac:dyDescent="0.2">
      <c r="B512" s="11"/>
    </row>
    <row r="513" spans="2:2" ht="15.75" customHeight="1" x14ac:dyDescent="0.2">
      <c r="B513" s="11"/>
    </row>
    <row r="514" spans="2:2" ht="15.75" customHeight="1" x14ac:dyDescent="0.2">
      <c r="B514" s="11"/>
    </row>
    <row r="515" spans="2:2" ht="15.75" customHeight="1" x14ac:dyDescent="0.2">
      <c r="B515" s="11"/>
    </row>
    <row r="516" spans="2:2" ht="15.75" customHeight="1" x14ac:dyDescent="0.2">
      <c r="B516" s="11"/>
    </row>
    <row r="517" spans="2:2" ht="15.75" customHeight="1" x14ac:dyDescent="0.2">
      <c r="B517" s="11"/>
    </row>
    <row r="518" spans="2:2" ht="15.75" customHeight="1" x14ac:dyDescent="0.2">
      <c r="B518" s="11"/>
    </row>
    <row r="519" spans="2:2" ht="15.75" customHeight="1" x14ac:dyDescent="0.2">
      <c r="B519" s="11"/>
    </row>
    <row r="520" spans="2:2" ht="15.75" customHeight="1" x14ac:dyDescent="0.2">
      <c r="B520" s="11"/>
    </row>
    <row r="521" spans="2:2" ht="15.75" customHeight="1" x14ac:dyDescent="0.2">
      <c r="B521" s="11"/>
    </row>
    <row r="522" spans="2:2" ht="15.75" customHeight="1" x14ac:dyDescent="0.2">
      <c r="B522" s="11"/>
    </row>
    <row r="523" spans="2:2" ht="15.75" customHeight="1" x14ac:dyDescent="0.2">
      <c r="B523" s="11"/>
    </row>
    <row r="524" spans="2:2" ht="15.75" customHeight="1" x14ac:dyDescent="0.2">
      <c r="B524" s="11"/>
    </row>
    <row r="525" spans="2:2" ht="15.75" customHeight="1" x14ac:dyDescent="0.2">
      <c r="B525" s="11"/>
    </row>
    <row r="526" spans="2:2" ht="15.75" customHeight="1" x14ac:dyDescent="0.2">
      <c r="B526" s="11"/>
    </row>
    <row r="527" spans="2:2" ht="15.75" customHeight="1" x14ac:dyDescent="0.2">
      <c r="B527" s="11"/>
    </row>
    <row r="528" spans="2:2" ht="15.75" customHeight="1" x14ac:dyDescent="0.2">
      <c r="B528" s="11"/>
    </row>
    <row r="529" spans="2:2" ht="15.75" customHeight="1" x14ac:dyDescent="0.2">
      <c r="B529" s="11"/>
    </row>
    <row r="530" spans="2:2" ht="15.75" customHeight="1" x14ac:dyDescent="0.2">
      <c r="B530" s="11"/>
    </row>
    <row r="531" spans="2:2" ht="15.75" customHeight="1" x14ac:dyDescent="0.2">
      <c r="B531" s="11"/>
    </row>
    <row r="532" spans="2:2" ht="15.75" customHeight="1" x14ac:dyDescent="0.2">
      <c r="B532" s="11"/>
    </row>
    <row r="533" spans="2:2" ht="15.75" customHeight="1" x14ac:dyDescent="0.2">
      <c r="B533" s="11"/>
    </row>
    <row r="534" spans="2:2" ht="15.75" customHeight="1" x14ac:dyDescent="0.2">
      <c r="B534" s="11"/>
    </row>
    <row r="535" spans="2:2" ht="15.75" customHeight="1" x14ac:dyDescent="0.2">
      <c r="B535" s="11"/>
    </row>
    <row r="536" spans="2:2" ht="15.75" customHeight="1" x14ac:dyDescent="0.2">
      <c r="B536" s="11"/>
    </row>
    <row r="537" spans="2:2" ht="15.75" customHeight="1" x14ac:dyDescent="0.2">
      <c r="B537" s="11"/>
    </row>
    <row r="538" spans="2:2" ht="15.75" customHeight="1" x14ac:dyDescent="0.2">
      <c r="B538" s="11"/>
    </row>
    <row r="539" spans="2:2" ht="15.75" customHeight="1" x14ac:dyDescent="0.2">
      <c r="B539" s="11"/>
    </row>
    <row r="540" spans="2:2" ht="15.75" customHeight="1" x14ac:dyDescent="0.2">
      <c r="B540" s="11"/>
    </row>
    <row r="541" spans="2:2" ht="15.75" customHeight="1" x14ac:dyDescent="0.2">
      <c r="B541" s="11"/>
    </row>
    <row r="542" spans="2:2" ht="15.75" customHeight="1" x14ac:dyDescent="0.2">
      <c r="B542" s="11"/>
    </row>
    <row r="543" spans="2:2" ht="15.75" customHeight="1" x14ac:dyDescent="0.2">
      <c r="B543" s="11"/>
    </row>
    <row r="544" spans="2:2" ht="15.75" customHeight="1" x14ac:dyDescent="0.2">
      <c r="B544" s="11"/>
    </row>
    <row r="545" spans="2:2" ht="15.75" customHeight="1" x14ac:dyDescent="0.2">
      <c r="B545" s="11"/>
    </row>
    <row r="546" spans="2:2" ht="15.75" customHeight="1" x14ac:dyDescent="0.2">
      <c r="B546" s="11"/>
    </row>
    <row r="547" spans="2:2" ht="15.75" customHeight="1" x14ac:dyDescent="0.2">
      <c r="B547" s="11"/>
    </row>
    <row r="548" spans="2:2" ht="15.75" customHeight="1" x14ac:dyDescent="0.2">
      <c r="B548" s="11"/>
    </row>
    <row r="549" spans="2:2" ht="15.75" customHeight="1" x14ac:dyDescent="0.2">
      <c r="B549" s="11"/>
    </row>
    <row r="550" spans="2:2" ht="15.75" customHeight="1" x14ac:dyDescent="0.2">
      <c r="B550" s="11"/>
    </row>
    <row r="551" spans="2:2" ht="15.75" customHeight="1" x14ac:dyDescent="0.2">
      <c r="B551" s="11"/>
    </row>
    <row r="552" spans="2:2" ht="15.75" customHeight="1" x14ac:dyDescent="0.2">
      <c r="B552" s="11"/>
    </row>
    <row r="553" spans="2:2" ht="15.75" customHeight="1" x14ac:dyDescent="0.2">
      <c r="B553" s="11"/>
    </row>
    <row r="554" spans="2:2" ht="15.75" customHeight="1" x14ac:dyDescent="0.2">
      <c r="B554" s="11"/>
    </row>
    <row r="555" spans="2:2" ht="15.75" customHeight="1" x14ac:dyDescent="0.2">
      <c r="B555" s="11"/>
    </row>
    <row r="556" spans="2:2" ht="15.75" customHeight="1" x14ac:dyDescent="0.2">
      <c r="B556" s="11"/>
    </row>
    <row r="557" spans="2:2" ht="15.75" customHeight="1" x14ac:dyDescent="0.2">
      <c r="B557" s="11"/>
    </row>
    <row r="558" spans="2:2" ht="15.75" customHeight="1" x14ac:dyDescent="0.2">
      <c r="B558" s="11"/>
    </row>
    <row r="559" spans="2:2" ht="15.75" customHeight="1" x14ac:dyDescent="0.2">
      <c r="B559" s="11"/>
    </row>
    <row r="560" spans="2:2" ht="15.75" customHeight="1" x14ac:dyDescent="0.2">
      <c r="B560" s="11"/>
    </row>
    <row r="561" spans="2:2" ht="15.75" customHeight="1" x14ac:dyDescent="0.2">
      <c r="B561" s="11"/>
    </row>
    <row r="562" spans="2:2" ht="15.75" customHeight="1" x14ac:dyDescent="0.2">
      <c r="B562" s="11"/>
    </row>
    <row r="563" spans="2:2" ht="15.75" customHeight="1" x14ac:dyDescent="0.2">
      <c r="B563" s="11"/>
    </row>
    <row r="564" spans="2:2" ht="15.75" customHeight="1" x14ac:dyDescent="0.2">
      <c r="B564" s="11"/>
    </row>
    <row r="565" spans="2:2" ht="15.75" customHeight="1" x14ac:dyDescent="0.2">
      <c r="B565" s="11"/>
    </row>
    <row r="566" spans="2:2" ht="15.75" customHeight="1" x14ac:dyDescent="0.2">
      <c r="B566" s="11"/>
    </row>
    <row r="567" spans="2:2" ht="15.75" customHeight="1" x14ac:dyDescent="0.2">
      <c r="B567" s="11"/>
    </row>
    <row r="568" spans="2:2" ht="15.75" customHeight="1" x14ac:dyDescent="0.2">
      <c r="B568" s="11"/>
    </row>
    <row r="569" spans="2:2" ht="15.75" customHeight="1" x14ac:dyDescent="0.2">
      <c r="B569" s="11"/>
    </row>
    <row r="570" spans="2:2" ht="15.75" customHeight="1" x14ac:dyDescent="0.2">
      <c r="B570" s="11"/>
    </row>
    <row r="571" spans="2:2" ht="15.75" customHeight="1" x14ac:dyDescent="0.2">
      <c r="B571" s="11"/>
    </row>
    <row r="572" spans="2:2" ht="15.75" customHeight="1" x14ac:dyDescent="0.2">
      <c r="B572" s="11"/>
    </row>
    <row r="573" spans="2:2" ht="15.75" customHeight="1" x14ac:dyDescent="0.2">
      <c r="B573" s="11"/>
    </row>
    <row r="574" spans="2:2" ht="15.75" customHeight="1" x14ac:dyDescent="0.2">
      <c r="B574" s="11"/>
    </row>
    <row r="575" spans="2:2" ht="15.75" customHeight="1" x14ac:dyDescent="0.2">
      <c r="B575" s="11"/>
    </row>
    <row r="576" spans="2:2" ht="15.75" customHeight="1" x14ac:dyDescent="0.2">
      <c r="B576" s="11"/>
    </row>
    <row r="577" spans="2:2" ht="15.75" customHeight="1" x14ac:dyDescent="0.2">
      <c r="B577" s="11"/>
    </row>
    <row r="578" spans="2:2" ht="15.75" customHeight="1" x14ac:dyDescent="0.2">
      <c r="B578" s="11"/>
    </row>
    <row r="579" spans="2:2" ht="15.75" customHeight="1" x14ac:dyDescent="0.2">
      <c r="B579" s="11"/>
    </row>
    <row r="580" spans="2:2" ht="15.75" customHeight="1" x14ac:dyDescent="0.2">
      <c r="B580" s="11"/>
    </row>
    <row r="581" spans="2:2" ht="15.75" customHeight="1" x14ac:dyDescent="0.2">
      <c r="B581" s="11"/>
    </row>
    <row r="582" spans="2:2" ht="15.75" customHeight="1" x14ac:dyDescent="0.2">
      <c r="B582" s="11"/>
    </row>
    <row r="583" spans="2:2" ht="15.75" customHeight="1" x14ac:dyDescent="0.2">
      <c r="B583" s="11"/>
    </row>
    <row r="584" spans="2:2" ht="15.75" customHeight="1" x14ac:dyDescent="0.2">
      <c r="B584" s="11"/>
    </row>
    <row r="585" spans="2:2" ht="15.75" customHeight="1" x14ac:dyDescent="0.2">
      <c r="B585" s="11"/>
    </row>
    <row r="586" spans="2:2" ht="15.75" customHeight="1" x14ac:dyDescent="0.2">
      <c r="B586" s="11"/>
    </row>
    <row r="587" spans="2:2" ht="15.75" customHeight="1" x14ac:dyDescent="0.2">
      <c r="B587" s="11"/>
    </row>
    <row r="588" spans="2:2" ht="15.75" customHeight="1" x14ac:dyDescent="0.2">
      <c r="B588" s="11"/>
    </row>
    <row r="589" spans="2:2" ht="15.75" customHeight="1" x14ac:dyDescent="0.2">
      <c r="B589" s="11"/>
    </row>
    <row r="590" spans="2:2" ht="15.75" customHeight="1" x14ac:dyDescent="0.2">
      <c r="B590" s="11"/>
    </row>
    <row r="591" spans="2:2" ht="15.75" customHeight="1" x14ac:dyDescent="0.2">
      <c r="B591" s="11"/>
    </row>
    <row r="592" spans="2:2" ht="15.75" customHeight="1" x14ac:dyDescent="0.2">
      <c r="B592" s="11"/>
    </row>
    <row r="593" spans="2:2" ht="15.75" customHeight="1" x14ac:dyDescent="0.2">
      <c r="B593" s="11"/>
    </row>
    <row r="594" spans="2:2" ht="15.75" customHeight="1" x14ac:dyDescent="0.2">
      <c r="B594" s="11"/>
    </row>
    <row r="595" spans="2:2" ht="15.75" customHeight="1" x14ac:dyDescent="0.2">
      <c r="B595" s="11"/>
    </row>
    <row r="596" spans="2:2" ht="15.75" customHeight="1" x14ac:dyDescent="0.2">
      <c r="B596" s="11"/>
    </row>
    <row r="597" spans="2:2" ht="15.75" customHeight="1" x14ac:dyDescent="0.2">
      <c r="B597" s="11"/>
    </row>
    <row r="598" spans="2:2" ht="15.75" customHeight="1" x14ac:dyDescent="0.2">
      <c r="B598" s="11"/>
    </row>
    <row r="599" spans="2:2" ht="15.75" customHeight="1" x14ac:dyDescent="0.2">
      <c r="B599" s="11"/>
    </row>
    <row r="600" spans="2:2" ht="15.75" customHeight="1" x14ac:dyDescent="0.2">
      <c r="B600" s="11"/>
    </row>
    <row r="601" spans="2:2" ht="15.75" customHeight="1" x14ac:dyDescent="0.2">
      <c r="B601" s="11"/>
    </row>
    <row r="602" spans="2:2" ht="15.75" customHeight="1" x14ac:dyDescent="0.2">
      <c r="B602" s="11"/>
    </row>
    <row r="603" spans="2:2" ht="15.75" customHeight="1" x14ac:dyDescent="0.2">
      <c r="B603" s="11"/>
    </row>
    <row r="604" spans="2:2" ht="15.75" customHeight="1" x14ac:dyDescent="0.2">
      <c r="B604" s="11"/>
    </row>
    <row r="605" spans="2:2" ht="15.75" customHeight="1" x14ac:dyDescent="0.2">
      <c r="B605" s="11"/>
    </row>
    <row r="606" spans="2:2" ht="15.75" customHeight="1" x14ac:dyDescent="0.2">
      <c r="B606" s="11"/>
    </row>
    <row r="607" spans="2:2" ht="15.75" customHeight="1" x14ac:dyDescent="0.2">
      <c r="B607" s="11"/>
    </row>
    <row r="608" spans="2:2" ht="15.75" customHeight="1" x14ac:dyDescent="0.2">
      <c r="B608" s="11"/>
    </row>
    <row r="609" spans="2:2" ht="15.75" customHeight="1" x14ac:dyDescent="0.2">
      <c r="B609" s="11"/>
    </row>
    <row r="610" spans="2:2" ht="15.75" customHeight="1" x14ac:dyDescent="0.2">
      <c r="B610" s="11"/>
    </row>
    <row r="611" spans="2:2" ht="15.75" customHeight="1" x14ac:dyDescent="0.2">
      <c r="B611" s="11"/>
    </row>
    <row r="612" spans="2:2" ht="15.75" customHeight="1" x14ac:dyDescent="0.2">
      <c r="B612" s="11"/>
    </row>
    <row r="613" spans="2:2" ht="15.75" customHeight="1" x14ac:dyDescent="0.2">
      <c r="B613" s="11"/>
    </row>
    <row r="614" spans="2:2" ht="15.75" customHeight="1" x14ac:dyDescent="0.2">
      <c r="B614" s="11"/>
    </row>
    <row r="615" spans="2:2" ht="15.75" customHeight="1" x14ac:dyDescent="0.2">
      <c r="B615" s="11"/>
    </row>
    <row r="616" spans="2:2" ht="15.75" customHeight="1" x14ac:dyDescent="0.2">
      <c r="B616" s="11"/>
    </row>
    <row r="617" spans="2:2" ht="15.75" customHeight="1" x14ac:dyDescent="0.2">
      <c r="B617" s="11"/>
    </row>
    <row r="618" spans="2:2" ht="15.75" customHeight="1" x14ac:dyDescent="0.2">
      <c r="B618" s="11"/>
    </row>
    <row r="619" spans="2:2" ht="15.75" customHeight="1" x14ac:dyDescent="0.2">
      <c r="B619" s="11"/>
    </row>
    <row r="620" spans="2:2" ht="15.75" customHeight="1" x14ac:dyDescent="0.2">
      <c r="B620" s="11"/>
    </row>
    <row r="621" spans="2:2" ht="15.75" customHeight="1" x14ac:dyDescent="0.2">
      <c r="B621" s="11"/>
    </row>
    <row r="622" spans="2:2" ht="15.75" customHeight="1" x14ac:dyDescent="0.2">
      <c r="B622" s="11"/>
    </row>
    <row r="623" spans="2:2" ht="15.75" customHeight="1" x14ac:dyDescent="0.2">
      <c r="B623" s="11"/>
    </row>
    <row r="624" spans="2:2" ht="15.75" customHeight="1" x14ac:dyDescent="0.2">
      <c r="B624" s="11"/>
    </row>
    <row r="625" spans="2:2" ht="15.75" customHeight="1" x14ac:dyDescent="0.2">
      <c r="B625" s="11"/>
    </row>
    <row r="626" spans="2:2" ht="15.75" customHeight="1" x14ac:dyDescent="0.2">
      <c r="B626" s="11"/>
    </row>
    <row r="627" spans="2:2" ht="15.75" customHeight="1" x14ac:dyDescent="0.2">
      <c r="B627" s="11"/>
    </row>
    <row r="628" spans="2:2" ht="15.75" customHeight="1" x14ac:dyDescent="0.2">
      <c r="B628" s="11"/>
    </row>
    <row r="629" spans="2:2" ht="15.75" customHeight="1" x14ac:dyDescent="0.2">
      <c r="B629" s="11"/>
    </row>
    <row r="630" spans="2:2" ht="15.75" customHeight="1" x14ac:dyDescent="0.2">
      <c r="B630" s="11"/>
    </row>
    <row r="631" spans="2:2" ht="15.75" customHeight="1" x14ac:dyDescent="0.2">
      <c r="B631" s="11"/>
    </row>
    <row r="632" spans="2:2" ht="15.75" customHeight="1" x14ac:dyDescent="0.2">
      <c r="B632" s="11"/>
    </row>
    <row r="633" spans="2:2" ht="15.75" customHeight="1" x14ac:dyDescent="0.2">
      <c r="B633" s="11"/>
    </row>
    <row r="634" spans="2:2" ht="15.75" customHeight="1" x14ac:dyDescent="0.2">
      <c r="B634" s="11"/>
    </row>
    <row r="635" spans="2:2" ht="15.75" customHeight="1" x14ac:dyDescent="0.2">
      <c r="B635" s="11"/>
    </row>
    <row r="636" spans="2:2" ht="15.75" customHeight="1" x14ac:dyDescent="0.2">
      <c r="B636" s="11"/>
    </row>
    <row r="637" spans="2:2" ht="15.75" customHeight="1" x14ac:dyDescent="0.2">
      <c r="B637" s="11"/>
    </row>
    <row r="638" spans="2:2" ht="15.75" customHeight="1" x14ac:dyDescent="0.2">
      <c r="B638" s="11"/>
    </row>
    <row r="639" spans="2:2" ht="15.75" customHeight="1" x14ac:dyDescent="0.2">
      <c r="B639" s="11"/>
    </row>
    <row r="640" spans="2:2" ht="15.75" customHeight="1" x14ac:dyDescent="0.2">
      <c r="B640" s="11"/>
    </row>
    <row r="641" spans="2:2" ht="15.75" customHeight="1" x14ac:dyDescent="0.2">
      <c r="B641" s="11"/>
    </row>
    <row r="642" spans="2:2" ht="15.75" customHeight="1" x14ac:dyDescent="0.2">
      <c r="B642" s="11"/>
    </row>
    <row r="643" spans="2:2" ht="15.75" customHeight="1" x14ac:dyDescent="0.2">
      <c r="B643" s="11"/>
    </row>
    <row r="644" spans="2:2" ht="15.75" customHeight="1" x14ac:dyDescent="0.2">
      <c r="B644" s="11"/>
    </row>
    <row r="645" spans="2:2" ht="15.75" customHeight="1" x14ac:dyDescent="0.2">
      <c r="B645" s="11"/>
    </row>
    <row r="646" spans="2:2" ht="15.75" customHeight="1" x14ac:dyDescent="0.2">
      <c r="B646" s="11"/>
    </row>
    <row r="647" spans="2:2" ht="15.75" customHeight="1" x14ac:dyDescent="0.2">
      <c r="B647" s="11"/>
    </row>
    <row r="648" spans="2:2" ht="15.75" customHeight="1" x14ac:dyDescent="0.2">
      <c r="B648" s="11"/>
    </row>
    <row r="649" spans="2:2" ht="15.75" customHeight="1" x14ac:dyDescent="0.2">
      <c r="B649" s="11"/>
    </row>
    <row r="650" spans="2:2" ht="15.75" customHeight="1" x14ac:dyDescent="0.2">
      <c r="B650" s="11"/>
    </row>
    <row r="651" spans="2:2" ht="15.75" customHeight="1" x14ac:dyDescent="0.2">
      <c r="B651" s="11"/>
    </row>
    <row r="652" spans="2:2" ht="15.75" customHeight="1" x14ac:dyDescent="0.2">
      <c r="B652" s="11"/>
    </row>
    <row r="653" spans="2:2" ht="15.75" customHeight="1" x14ac:dyDescent="0.2">
      <c r="B653" s="11"/>
    </row>
    <row r="654" spans="2:2" ht="15.75" customHeight="1" x14ac:dyDescent="0.2">
      <c r="B654" s="11"/>
    </row>
    <row r="655" spans="2:2" ht="15.75" customHeight="1" x14ac:dyDescent="0.2">
      <c r="B655" s="11"/>
    </row>
    <row r="656" spans="2:2" ht="15.75" customHeight="1" x14ac:dyDescent="0.2">
      <c r="B656" s="11"/>
    </row>
    <row r="657" spans="2:2" ht="15.75" customHeight="1" x14ac:dyDescent="0.2">
      <c r="B657" s="11"/>
    </row>
    <row r="658" spans="2:2" ht="15.75" customHeight="1" x14ac:dyDescent="0.2">
      <c r="B658" s="11"/>
    </row>
    <row r="659" spans="2:2" ht="15.75" customHeight="1" x14ac:dyDescent="0.2">
      <c r="B659" s="11"/>
    </row>
    <row r="660" spans="2:2" ht="15.75" customHeight="1" x14ac:dyDescent="0.2">
      <c r="B660" s="11"/>
    </row>
    <row r="661" spans="2:2" ht="15.75" customHeight="1" x14ac:dyDescent="0.2">
      <c r="B661" s="11"/>
    </row>
    <row r="662" spans="2:2" ht="15.75" customHeight="1" x14ac:dyDescent="0.2">
      <c r="B662" s="11"/>
    </row>
    <row r="663" spans="2:2" ht="15.75" customHeight="1" x14ac:dyDescent="0.2">
      <c r="B663" s="11"/>
    </row>
    <row r="664" spans="2:2" ht="15.75" customHeight="1" x14ac:dyDescent="0.2">
      <c r="B664" s="11"/>
    </row>
    <row r="665" spans="2:2" ht="15.75" customHeight="1" x14ac:dyDescent="0.2">
      <c r="B665" s="11"/>
    </row>
    <row r="666" spans="2:2" ht="15.75" customHeight="1" x14ac:dyDescent="0.2">
      <c r="B666" s="11"/>
    </row>
    <row r="667" spans="2:2" ht="15.75" customHeight="1" x14ac:dyDescent="0.2">
      <c r="B667" s="11"/>
    </row>
    <row r="668" spans="2:2" ht="15.75" customHeight="1" x14ac:dyDescent="0.2">
      <c r="B668" s="11"/>
    </row>
    <row r="669" spans="2:2" ht="15.75" customHeight="1" x14ac:dyDescent="0.2">
      <c r="B669" s="11"/>
    </row>
    <row r="670" spans="2:2" ht="15.75" customHeight="1" x14ac:dyDescent="0.2">
      <c r="B670" s="11"/>
    </row>
    <row r="671" spans="2:2" ht="15.75" customHeight="1" x14ac:dyDescent="0.2">
      <c r="B671" s="11"/>
    </row>
    <row r="672" spans="2:2" ht="15.75" customHeight="1" x14ac:dyDescent="0.2">
      <c r="B672" s="11"/>
    </row>
    <row r="673" spans="2:2" ht="15.75" customHeight="1" x14ac:dyDescent="0.2">
      <c r="B673" s="11"/>
    </row>
    <row r="674" spans="2:2" ht="15.75" customHeight="1" x14ac:dyDescent="0.2">
      <c r="B674" s="11"/>
    </row>
    <row r="675" spans="2:2" ht="15.75" customHeight="1" x14ac:dyDescent="0.2">
      <c r="B675" s="11"/>
    </row>
    <row r="676" spans="2:2" ht="15.75" customHeight="1" x14ac:dyDescent="0.2">
      <c r="B676" s="11"/>
    </row>
    <row r="677" spans="2:2" ht="15.75" customHeight="1" x14ac:dyDescent="0.2">
      <c r="B677" s="11"/>
    </row>
    <row r="678" spans="2:2" ht="15.75" customHeight="1" x14ac:dyDescent="0.2">
      <c r="B678" s="11"/>
    </row>
    <row r="679" spans="2:2" ht="15.75" customHeight="1" x14ac:dyDescent="0.2">
      <c r="B679" s="11"/>
    </row>
    <row r="680" spans="2:2" ht="15.75" customHeight="1" x14ac:dyDescent="0.2">
      <c r="B680" s="11"/>
    </row>
    <row r="681" spans="2:2" ht="15.75" customHeight="1" x14ac:dyDescent="0.2">
      <c r="B681" s="11"/>
    </row>
    <row r="682" spans="2:2" ht="15.75" customHeight="1" x14ac:dyDescent="0.2">
      <c r="B682" s="11"/>
    </row>
    <row r="683" spans="2:2" ht="15.75" customHeight="1" x14ac:dyDescent="0.2">
      <c r="B683" s="11"/>
    </row>
    <row r="684" spans="2:2" ht="15.75" customHeight="1" x14ac:dyDescent="0.2">
      <c r="B684" s="11"/>
    </row>
    <row r="685" spans="2:2" ht="15.75" customHeight="1" x14ac:dyDescent="0.2">
      <c r="B685" s="11"/>
    </row>
    <row r="686" spans="2:2" ht="15.75" customHeight="1" x14ac:dyDescent="0.2">
      <c r="B686" s="11"/>
    </row>
    <row r="687" spans="2:2" ht="15.75" customHeight="1" x14ac:dyDescent="0.2">
      <c r="B687" s="11"/>
    </row>
    <row r="688" spans="2:2" ht="15.75" customHeight="1" x14ac:dyDescent="0.2">
      <c r="B688" s="11"/>
    </row>
    <row r="689" spans="2:2" ht="15.75" customHeight="1" x14ac:dyDescent="0.2">
      <c r="B689" s="11"/>
    </row>
    <row r="690" spans="2:2" ht="15.75" customHeight="1" x14ac:dyDescent="0.2">
      <c r="B690" s="11"/>
    </row>
    <row r="691" spans="2:2" ht="15.75" customHeight="1" x14ac:dyDescent="0.2">
      <c r="B691" s="11"/>
    </row>
    <row r="692" spans="2:2" ht="15.75" customHeight="1" x14ac:dyDescent="0.2">
      <c r="B692" s="11"/>
    </row>
    <row r="693" spans="2:2" ht="15.75" customHeight="1" x14ac:dyDescent="0.2">
      <c r="B693" s="11"/>
    </row>
    <row r="694" spans="2:2" ht="15.75" customHeight="1" x14ac:dyDescent="0.2">
      <c r="B694" s="11"/>
    </row>
    <row r="695" spans="2:2" ht="15.75" customHeight="1" x14ac:dyDescent="0.2">
      <c r="B695" s="11"/>
    </row>
    <row r="696" spans="2:2" ht="15.75" customHeight="1" x14ac:dyDescent="0.2">
      <c r="B696" s="11"/>
    </row>
    <row r="697" spans="2:2" ht="15.75" customHeight="1" x14ac:dyDescent="0.2">
      <c r="B697" s="11"/>
    </row>
    <row r="698" spans="2:2" ht="15.75" customHeight="1" x14ac:dyDescent="0.2">
      <c r="B698" s="11"/>
    </row>
    <row r="699" spans="2:2" ht="15.75" customHeight="1" x14ac:dyDescent="0.2">
      <c r="B699" s="11"/>
    </row>
    <row r="700" spans="2:2" ht="15.75" customHeight="1" x14ac:dyDescent="0.2">
      <c r="B700" s="11"/>
    </row>
    <row r="701" spans="2:2" ht="15.75" customHeight="1" x14ac:dyDescent="0.2">
      <c r="B701" s="11"/>
    </row>
    <row r="702" spans="2:2" ht="15.75" customHeight="1" x14ac:dyDescent="0.2">
      <c r="B702" s="11"/>
    </row>
    <row r="703" spans="2:2" ht="15.75" customHeight="1" x14ac:dyDescent="0.2">
      <c r="B703" s="11"/>
    </row>
    <row r="704" spans="2:2" ht="15.75" customHeight="1" x14ac:dyDescent="0.2">
      <c r="B704" s="11"/>
    </row>
    <row r="705" spans="2:2" ht="15.75" customHeight="1" x14ac:dyDescent="0.2">
      <c r="B705" s="11"/>
    </row>
    <row r="706" spans="2:2" ht="15.75" customHeight="1" x14ac:dyDescent="0.2">
      <c r="B706" s="11"/>
    </row>
    <row r="707" spans="2:2" ht="15.75" customHeight="1" x14ac:dyDescent="0.2">
      <c r="B707" s="11"/>
    </row>
    <row r="708" spans="2:2" ht="15.75" customHeight="1" x14ac:dyDescent="0.2">
      <c r="B708" s="11"/>
    </row>
    <row r="709" spans="2:2" ht="15.75" customHeight="1" x14ac:dyDescent="0.2">
      <c r="B709" s="11"/>
    </row>
    <row r="710" spans="2:2" ht="15.75" customHeight="1" x14ac:dyDescent="0.2">
      <c r="B710" s="11"/>
    </row>
    <row r="711" spans="2:2" ht="15.75" customHeight="1" x14ac:dyDescent="0.2">
      <c r="B711" s="11"/>
    </row>
    <row r="712" spans="2:2" ht="15.75" customHeight="1" x14ac:dyDescent="0.2">
      <c r="B712" s="11"/>
    </row>
    <row r="713" spans="2:2" ht="15.75" customHeight="1" x14ac:dyDescent="0.2">
      <c r="B713" s="11"/>
    </row>
    <row r="714" spans="2:2" ht="15.75" customHeight="1" x14ac:dyDescent="0.2">
      <c r="B714" s="11"/>
    </row>
    <row r="715" spans="2:2" ht="15.75" customHeight="1" x14ac:dyDescent="0.2">
      <c r="B715" s="11"/>
    </row>
    <row r="716" spans="2:2" ht="15.75" customHeight="1" x14ac:dyDescent="0.2">
      <c r="B716" s="11"/>
    </row>
    <row r="717" spans="2:2" ht="15.75" customHeight="1" x14ac:dyDescent="0.2">
      <c r="B717" s="11"/>
    </row>
    <row r="718" spans="2:2" ht="15.75" customHeight="1" x14ac:dyDescent="0.2">
      <c r="B718" s="11"/>
    </row>
    <row r="719" spans="2:2" ht="15.75" customHeight="1" x14ac:dyDescent="0.2">
      <c r="B719" s="11"/>
    </row>
    <row r="720" spans="2:2" ht="15.75" customHeight="1" x14ac:dyDescent="0.2">
      <c r="B720" s="11"/>
    </row>
    <row r="721" spans="2:2" ht="15.75" customHeight="1" x14ac:dyDescent="0.2">
      <c r="B721" s="11"/>
    </row>
    <row r="722" spans="2:2" ht="15.75" customHeight="1" x14ac:dyDescent="0.2">
      <c r="B722" s="11"/>
    </row>
    <row r="723" spans="2:2" ht="15.75" customHeight="1" x14ac:dyDescent="0.2">
      <c r="B723" s="11"/>
    </row>
    <row r="724" spans="2:2" ht="15.75" customHeight="1" x14ac:dyDescent="0.2">
      <c r="B724" s="11"/>
    </row>
    <row r="725" spans="2:2" ht="15.75" customHeight="1" x14ac:dyDescent="0.2">
      <c r="B725" s="11"/>
    </row>
    <row r="726" spans="2:2" ht="15.75" customHeight="1" x14ac:dyDescent="0.2">
      <c r="B726" s="11"/>
    </row>
    <row r="727" spans="2:2" ht="15.75" customHeight="1" x14ac:dyDescent="0.2">
      <c r="B727" s="11"/>
    </row>
    <row r="728" spans="2:2" ht="15.75" customHeight="1" x14ac:dyDescent="0.2">
      <c r="B728" s="11"/>
    </row>
    <row r="729" spans="2:2" ht="15.75" customHeight="1" x14ac:dyDescent="0.2">
      <c r="B729" s="11"/>
    </row>
    <row r="730" spans="2:2" ht="15.75" customHeight="1" x14ac:dyDescent="0.2">
      <c r="B730" s="11"/>
    </row>
    <row r="731" spans="2:2" ht="15.75" customHeight="1" x14ac:dyDescent="0.2">
      <c r="B731" s="11"/>
    </row>
    <row r="732" spans="2:2" ht="15.75" customHeight="1" x14ac:dyDescent="0.2">
      <c r="B732" s="11"/>
    </row>
    <row r="733" spans="2:2" ht="15.75" customHeight="1" x14ac:dyDescent="0.2">
      <c r="B733" s="11"/>
    </row>
    <row r="734" spans="2:2" ht="15.75" customHeight="1" x14ac:dyDescent="0.2">
      <c r="B734" s="11"/>
    </row>
    <row r="735" spans="2:2" ht="15.75" customHeight="1" x14ac:dyDescent="0.2">
      <c r="B735" s="11"/>
    </row>
    <row r="736" spans="2:2" ht="15.75" customHeight="1" x14ac:dyDescent="0.2">
      <c r="B736" s="11"/>
    </row>
    <row r="737" spans="2:2" ht="15.75" customHeight="1" x14ac:dyDescent="0.2">
      <c r="B737" s="11"/>
    </row>
    <row r="738" spans="2:2" ht="15.75" customHeight="1" x14ac:dyDescent="0.2">
      <c r="B738" s="11"/>
    </row>
    <row r="739" spans="2:2" ht="15.75" customHeight="1" x14ac:dyDescent="0.2">
      <c r="B739" s="11"/>
    </row>
    <row r="740" spans="2:2" ht="15.75" customHeight="1" x14ac:dyDescent="0.2">
      <c r="B740" s="11"/>
    </row>
    <row r="741" spans="2:2" ht="15.75" customHeight="1" x14ac:dyDescent="0.2">
      <c r="B741" s="11"/>
    </row>
    <row r="742" spans="2:2" ht="15.75" customHeight="1" x14ac:dyDescent="0.2">
      <c r="B742" s="11"/>
    </row>
    <row r="743" spans="2:2" ht="15.75" customHeight="1" x14ac:dyDescent="0.2">
      <c r="B743" s="11"/>
    </row>
    <row r="744" spans="2:2" ht="15.75" customHeight="1" x14ac:dyDescent="0.2">
      <c r="B744" s="11"/>
    </row>
    <row r="745" spans="2:2" ht="15.75" customHeight="1" x14ac:dyDescent="0.2">
      <c r="B745" s="11"/>
    </row>
    <row r="746" spans="2:2" ht="15.75" customHeight="1" x14ac:dyDescent="0.2">
      <c r="B746" s="11"/>
    </row>
    <row r="747" spans="2:2" ht="15.75" customHeight="1" x14ac:dyDescent="0.2">
      <c r="B747" s="11"/>
    </row>
    <row r="748" spans="2:2" ht="15.75" customHeight="1" x14ac:dyDescent="0.2">
      <c r="B748" s="11"/>
    </row>
    <row r="749" spans="2:2" ht="15.75" customHeight="1" x14ac:dyDescent="0.2">
      <c r="B749" s="11"/>
    </row>
    <row r="750" spans="2:2" ht="15.75" customHeight="1" x14ac:dyDescent="0.2">
      <c r="B750" s="11"/>
    </row>
    <row r="751" spans="2:2" ht="15.75" customHeight="1" x14ac:dyDescent="0.2">
      <c r="B751" s="11"/>
    </row>
    <row r="752" spans="2:2" ht="15.75" customHeight="1" x14ac:dyDescent="0.2">
      <c r="B752" s="11"/>
    </row>
    <row r="753" spans="2:2" ht="15.75" customHeight="1" x14ac:dyDescent="0.2">
      <c r="B753" s="11"/>
    </row>
    <row r="754" spans="2:2" ht="15.75" customHeight="1" x14ac:dyDescent="0.2">
      <c r="B754" s="11"/>
    </row>
    <row r="755" spans="2:2" ht="15.75" customHeight="1" x14ac:dyDescent="0.2">
      <c r="B755" s="11"/>
    </row>
    <row r="756" spans="2:2" ht="15.75" customHeight="1" x14ac:dyDescent="0.2">
      <c r="B756" s="11"/>
    </row>
    <row r="757" spans="2:2" ht="15.75" customHeight="1" x14ac:dyDescent="0.2">
      <c r="B757" s="11"/>
    </row>
    <row r="758" spans="2:2" ht="15.75" customHeight="1" x14ac:dyDescent="0.2">
      <c r="B758" s="11"/>
    </row>
    <row r="759" spans="2:2" ht="15.75" customHeight="1" x14ac:dyDescent="0.2">
      <c r="B759" s="11"/>
    </row>
    <row r="760" spans="2:2" ht="15.75" customHeight="1" x14ac:dyDescent="0.2">
      <c r="B760" s="11"/>
    </row>
    <row r="761" spans="2:2" ht="15.75" customHeight="1" x14ac:dyDescent="0.2">
      <c r="B761" s="11"/>
    </row>
    <row r="762" spans="2:2" ht="15.75" customHeight="1" x14ac:dyDescent="0.2">
      <c r="B762" s="11"/>
    </row>
    <row r="763" spans="2:2" ht="15.75" customHeight="1" x14ac:dyDescent="0.2">
      <c r="B763" s="11"/>
    </row>
    <row r="764" spans="2:2" ht="15.75" customHeight="1" x14ac:dyDescent="0.2">
      <c r="B764" s="11"/>
    </row>
    <row r="765" spans="2:2" ht="15.75" customHeight="1" x14ac:dyDescent="0.2">
      <c r="B765" s="11"/>
    </row>
    <row r="766" spans="2:2" ht="15.75" customHeight="1" x14ac:dyDescent="0.2">
      <c r="B766" s="11"/>
    </row>
    <row r="767" spans="2:2" ht="15.75" customHeight="1" x14ac:dyDescent="0.2">
      <c r="B767" s="11"/>
    </row>
    <row r="768" spans="2:2" ht="15.75" customHeight="1" x14ac:dyDescent="0.2">
      <c r="B768" s="11"/>
    </row>
    <row r="769" spans="2:2" ht="15.75" customHeight="1" x14ac:dyDescent="0.2">
      <c r="B769" s="11"/>
    </row>
    <row r="770" spans="2:2" ht="15.75" customHeight="1" x14ac:dyDescent="0.2">
      <c r="B770" s="11"/>
    </row>
    <row r="771" spans="2:2" ht="15.75" customHeight="1" x14ac:dyDescent="0.2">
      <c r="B771" s="11"/>
    </row>
    <row r="772" spans="2:2" ht="15.75" customHeight="1" x14ac:dyDescent="0.2">
      <c r="B772" s="11"/>
    </row>
    <row r="773" spans="2:2" ht="15.75" customHeight="1" x14ac:dyDescent="0.2">
      <c r="B773" s="11"/>
    </row>
    <row r="774" spans="2:2" ht="15.75" customHeight="1" x14ac:dyDescent="0.2">
      <c r="B774" s="11"/>
    </row>
    <row r="775" spans="2:2" ht="15.75" customHeight="1" x14ac:dyDescent="0.2">
      <c r="B775" s="11"/>
    </row>
    <row r="776" spans="2:2" ht="15.75" customHeight="1" x14ac:dyDescent="0.2">
      <c r="B776" s="11"/>
    </row>
    <row r="777" spans="2:2" ht="15.75" customHeight="1" x14ac:dyDescent="0.2">
      <c r="B777" s="11"/>
    </row>
    <row r="778" spans="2:2" ht="15.75" customHeight="1" x14ac:dyDescent="0.2">
      <c r="B778" s="11"/>
    </row>
    <row r="779" spans="2:2" ht="15.75" customHeight="1" x14ac:dyDescent="0.2">
      <c r="B779" s="11"/>
    </row>
    <row r="780" spans="2:2" ht="15.75" customHeight="1" x14ac:dyDescent="0.2">
      <c r="B780" s="11"/>
    </row>
    <row r="781" spans="2:2" ht="15.75" customHeight="1" x14ac:dyDescent="0.2">
      <c r="B781" s="11"/>
    </row>
    <row r="782" spans="2:2" ht="15.75" customHeight="1" x14ac:dyDescent="0.2">
      <c r="B782" s="11"/>
    </row>
    <row r="783" spans="2:2" ht="15.75" customHeight="1" x14ac:dyDescent="0.2">
      <c r="B783" s="11"/>
    </row>
    <row r="784" spans="2:2" ht="15.75" customHeight="1" x14ac:dyDescent="0.2">
      <c r="B784" s="11"/>
    </row>
    <row r="785" spans="2:2" ht="15.75" customHeight="1" x14ac:dyDescent="0.2">
      <c r="B785" s="11"/>
    </row>
    <row r="786" spans="2:2" ht="15.75" customHeight="1" x14ac:dyDescent="0.2">
      <c r="B786" s="11"/>
    </row>
    <row r="787" spans="2:2" ht="15.75" customHeight="1" x14ac:dyDescent="0.2">
      <c r="B787" s="11"/>
    </row>
    <row r="788" spans="2:2" ht="15.75" customHeight="1" x14ac:dyDescent="0.2">
      <c r="B788" s="11"/>
    </row>
    <row r="789" spans="2:2" ht="15.75" customHeight="1" x14ac:dyDescent="0.2">
      <c r="B789" s="11"/>
    </row>
    <row r="790" spans="2:2" ht="15.75" customHeight="1" x14ac:dyDescent="0.2">
      <c r="B790" s="11"/>
    </row>
    <row r="791" spans="2:2" ht="15.75" customHeight="1" x14ac:dyDescent="0.2">
      <c r="B791" s="11"/>
    </row>
    <row r="792" spans="2:2" ht="15.75" customHeight="1" x14ac:dyDescent="0.2">
      <c r="B792" s="11"/>
    </row>
    <row r="793" spans="2:2" ht="15.75" customHeight="1" x14ac:dyDescent="0.2">
      <c r="B793" s="11"/>
    </row>
    <row r="794" spans="2:2" ht="15.75" customHeight="1" x14ac:dyDescent="0.2">
      <c r="B794" s="11"/>
    </row>
    <row r="795" spans="2:2" ht="15.75" customHeight="1" x14ac:dyDescent="0.2">
      <c r="B795" s="11"/>
    </row>
    <row r="796" spans="2:2" ht="15.75" customHeight="1" x14ac:dyDescent="0.2">
      <c r="B796" s="11"/>
    </row>
    <row r="797" spans="2:2" ht="15.75" customHeight="1" x14ac:dyDescent="0.2">
      <c r="B797" s="11"/>
    </row>
    <row r="798" spans="2:2" ht="15.75" customHeight="1" x14ac:dyDescent="0.2">
      <c r="B798" s="11"/>
    </row>
    <row r="799" spans="2:2" ht="15.75" customHeight="1" x14ac:dyDescent="0.2">
      <c r="B799" s="11"/>
    </row>
    <row r="800" spans="2:2" ht="15.75" customHeight="1" x14ac:dyDescent="0.2">
      <c r="B800" s="11"/>
    </row>
    <row r="801" spans="2:2" ht="15.75" customHeight="1" x14ac:dyDescent="0.2">
      <c r="B801" s="11"/>
    </row>
    <row r="802" spans="2:2" ht="15.75" customHeight="1" x14ac:dyDescent="0.2">
      <c r="B802" s="11"/>
    </row>
    <row r="803" spans="2:2" ht="15.75" customHeight="1" x14ac:dyDescent="0.2">
      <c r="B803" s="11"/>
    </row>
    <row r="804" spans="2:2" ht="15.75" customHeight="1" x14ac:dyDescent="0.2">
      <c r="B804" s="11"/>
    </row>
    <row r="805" spans="2:2" ht="15.75" customHeight="1" x14ac:dyDescent="0.2">
      <c r="B805" s="11"/>
    </row>
    <row r="806" spans="2:2" ht="15.75" customHeight="1" x14ac:dyDescent="0.2">
      <c r="B806" s="11"/>
    </row>
    <row r="807" spans="2:2" ht="15.75" customHeight="1" x14ac:dyDescent="0.2">
      <c r="B807" s="11"/>
    </row>
    <row r="808" spans="2:2" ht="15.75" customHeight="1" x14ac:dyDescent="0.2">
      <c r="B808" s="11"/>
    </row>
    <row r="809" spans="2:2" ht="15.75" customHeight="1" x14ac:dyDescent="0.2">
      <c r="B809" s="11"/>
    </row>
    <row r="810" spans="2:2" ht="15.75" customHeight="1" x14ac:dyDescent="0.2">
      <c r="B810" s="11"/>
    </row>
    <row r="811" spans="2:2" ht="15.75" customHeight="1" x14ac:dyDescent="0.2">
      <c r="B811" s="11"/>
    </row>
    <row r="812" spans="2:2" ht="15.75" customHeight="1" x14ac:dyDescent="0.2">
      <c r="B812" s="11"/>
    </row>
    <row r="813" spans="2:2" ht="15.75" customHeight="1" x14ac:dyDescent="0.2">
      <c r="B813" s="11"/>
    </row>
    <row r="814" spans="2:2" ht="15.75" customHeight="1" x14ac:dyDescent="0.2">
      <c r="B814" s="11"/>
    </row>
    <row r="815" spans="2:2" ht="15.75" customHeight="1" x14ac:dyDescent="0.2">
      <c r="B815" s="11"/>
    </row>
    <row r="816" spans="2:2" ht="15.75" customHeight="1" x14ac:dyDescent="0.2">
      <c r="B816" s="11"/>
    </row>
    <row r="817" spans="2:2" ht="15.75" customHeight="1" x14ac:dyDescent="0.2">
      <c r="B817" s="11"/>
    </row>
    <row r="818" spans="2:2" ht="15.75" customHeight="1" x14ac:dyDescent="0.2">
      <c r="B818" s="11"/>
    </row>
    <row r="819" spans="2:2" ht="15.75" customHeight="1" x14ac:dyDescent="0.2">
      <c r="B819" s="11"/>
    </row>
    <row r="820" spans="2:2" ht="15.75" customHeight="1" x14ac:dyDescent="0.2">
      <c r="B820" s="11"/>
    </row>
    <row r="821" spans="2:2" ht="15.75" customHeight="1" x14ac:dyDescent="0.2">
      <c r="B821" s="11"/>
    </row>
    <row r="822" spans="2:2" ht="15.75" customHeight="1" x14ac:dyDescent="0.2">
      <c r="B822" s="11"/>
    </row>
    <row r="823" spans="2:2" ht="15.75" customHeight="1" x14ac:dyDescent="0.2">
      <c r="B823" s="11"/>
    </row>
    <row r="824" spans="2:2" ht="15.75" customHeight="1" x14ac:dyDescent="0.2">
      <c r="B824" s="11"/>
    </row>
    <row r="825" spans="2:2" ht="15.75" customHeight="1" x14ac:dyDescent="0.2">
      <c r="B825" s="11"/>
    </row>
    <row r="826" spans="2:2" ht="15.75" customHeight="1" x14ac:dyDescent="0.2">
      <c r="B826" s="11"/>
    </row>
    <row r="827" spans="2:2" ht="15.75" customHeight="1" x14ac:dyDescent="0.2">
      <c r="B827" s="11"/>
    </row>
    <row r="828" spans="2:2" ht="15.75" customHeight="1" x14ac:dyDescent="0.2">
      <c r="B828" s="11"/>
    </row>
    <row r="829" spans="2:2" ht="15.75" customHeight="1" x14ac:dyDescent="0.2">
      <c r="B829" s="11"/>
    </row>
    <row r="830" spans="2:2" ht="15.75" customHeight="1" x14ac:dyDescent="0.2">
      <c r="B830" s="11"/>
    </row>
    <row r="831" spans="2:2" ht="15.75" customHeight="1" x14ac:dyDescent="0.2">
      <c r="B831" s="11"/>
    </row>
    <row r="832" spans="2:2" ht="15.75" customHeight="1" x14ac:dyDescent="0.2">
      <c r="B832" s="11"/>
    </row>
    <row r="833" spans="2:2" ht="15.75" customHeight="1" x14ac:dyDescent="0.2">
      <c r="B833" s="11"/>
    </row>
    <row r="834" spans="2:2" ht="15.75" customHeight="1" x14ac:dyDescent="0.2">
      <c r="B834" s="11"/>
    </row>
    <row r="835" spans="2:2" ht="15.75" customHeight="1" x14ac:dyDescent="0.2">
      <c r="B835" s="11"/>
    </row>
    <row r="836" spans="2:2" ht="15.75" customHeight="1" x14ac:dyDescent="0.2">
      <c r="B836" s="11"/>
    </row>
    <row r="837" spans="2:2" ht="15.75" customHeight="1" x14ac:dyDescent="0.2">
      <c r="B837" s="11"/>
    </row>
    <row r="838" spans="2:2" ht="15.75" customHeight="1" x14ac:dyDescent="0.2">
      <c r="B838" s="11"/>
    </row>
    <row r="839" spans="2:2" ht="15.75" customHeight="1" x14ac:dyDescent="0.2">
      <c r="B839" s="11"/>
    </row>
    <row r="840" spans="2:2" ht="15.75" customHeight="1" x14ac:dyDescent="0.2">
      <c r="B840" s="11"/>
    </row>
    <row r="841" spans="2:2" ht="15.75" customHeight="1" x14ac:dyDescent="0.2">
      <c r="B841" s="11"/>
    </row>
    <row r="842" spans="2:2" ht="15.75" customHeight="1" x14ac:dyDescent="0.2">
      <c r="B842" s="11"/>
    </row>
    <row r="843" spans="2:2" ht="15.75" customHeight="1" x14ac:dyDescent="0.2">
      <c r="B843" s="11"/>
    </row>
    <row r="844" spans="2:2" ht="15.75" customHeight="1" x14ac:dyDescent="0.2">
      <c r="B844" s="11"/>
    </row>
    <row r="845" spans="2:2" ht="15.75" customHeight="1" x14ac:dyDescent="0.2">
      <c r="B845" s="11"/>
    </row>
    <row r="846" spans="2:2" ht="15.75" customHeight="1" x14ac:dyDescent="0.2">
      <c r="B846" s="11"/>
    </row>
    <row r="847" spans="2:2" ht="15.75" customHeight="1" x14ac:dyDescent="0.2">
      <c r="B847" s="11"/>
    </row>
    <row r="848" spans="2:2" ht="15.75" customHeight="1" x14ac:dyDescent="0.2">
      <c r="B848" s="11"/>
    </row>
    <row r="849" spans="2:2" ht="15.75" customHeight="1" x14ac:dyDescent="0.2">
      <c r="B849" s="11"/>
    </row>
    <row r="850" spans="2:2" ht="15.75" customHeight="1" x14ac:dyDescent="0.2">
      <c r="B850" s="11"/>
    </row>
    <row r="851" spans="2:2" ht="15.75" customHeight="1" x14ac:dyDescent="0.2">
      <c r="B851" s="11"/>
    </row>
    <row r="852" spans="2:2" ht="15.75" customHeight="1" x14ac:dyDescent="0.2">
      <c r="B852" s="11"/>
    </row>
    <row r="853" spans="2:2" ht="15.75" customHeight="1" x14ac:dyDescent="0.2">
      <c r="B853" s="11"/>
    </row>
    <row r="854" spans="2:2" ht="15.75" customHeight="1" x14ac:dyDescent="0.2">
      <c r="B854" s="11"/>
    </row>
    <row r="855" spans="2:2" ht="15.75" customHeight="1" x14ac:dyDescent="0.2">
      <c r="B855" s="11"/>
    </row>
    <row r="856" spans="2:2" ht="15.75" customHeight="1" x14ac:dyDescent="0.2">
      <c r="B856" s="11"/>
    </row>
    <row r="857" spans="2:2" ht="15.75" customHeight="1" x14ac:dyDescent="0.2">
      <c r="B857" s="11"/>
    </row>
    <row r="858" spans="2:2" ht="15.75" customHeight="1" x14ac:dyDescent="0.2">
      <c r="B858" s="11"/>
    </row>
    <row r="859" spans="2:2" ht="15.75" customHeight="1" x14ac:dyDescent="0.2">
      <c r="B859" s="11"/>
    </row>
    <row r="860" spans="2:2" ht="15.75" customHeight="1" x14ac:dyDescent="0.2">
      <c r="B860" s="11"/>
    </row>
    <row r="861" spans="2:2" ht="15.75" customHeight="1" x14ac:dyDescent="0.2">
      <c r="B861" s="11"/>
    </row>
    <row r="862" spans="2:2" ht="15.75" customHeight="1" x14ac:dyDescent="0.2">
      <c r="B862" s="11"/>
    </row>
    <row r="863" spans="2:2" ht="15.75" customHeight="1" x14ac:dyDescent="0.2">
      <c r="B863" s="11"/>
    </row>
    <row r="864" spans="2:2" ht="15.75" customHeight="1" x14ac:dyDescent="0.2">
      <c r="B864" s="11"/>
    </row>
    <row r="865" spans="2:2" ht="15.75" customHeight="1" x14ac:dyDescent="0.2">
      <c r="B865" s="11"/>
    </row>
    <row r="866" spans="2:2" ht="15.75" customHeight="1" x14ac:dyDescent="0.2">
      <c r="B866" s="11"/>
    </row>
    <row r="867" spans="2:2" ht="15.75" customHeight="1" x14ac:dyDescent="0.2">
      <c r="B867" s="11"/>
    </row>
    <row r="868" spans="2:2" ht="15.75" customHeight="1" x14ac:dyDescent="0.2">
      <c r="B868" s="11"/>
    </row>
    <row r="869" spans="2:2" ht="15.75" customHeight="1" x14ac:dyDescent="0.2">
      <c r="B869" s="11"/>
    </row>
    <row r="870" spans="2:2" ht="15.75" customHeight="1" x14ac:dyDescent="0.2">
      <c r="B870" s="11"/>
    </row>
    <row r="871" spans="2:2" ht="15.75" customHeight="1" x14ac:dyDescent="0.2">
      <c r="B871" s="11"/>
    </row>
    <row r="872" spans="2:2" ht="15.75" customHeight="1" x14ac:dyDescent="0.2">
      <c r="B872" s="11"/>
    </row>
    <row r="873" spans="2:2" ht="15.75" customHeight="1" x14ac:dyDescent="0.2">
      <c r="B873" s="11"/>
    </row>
    <row r="874" spans="2:2" ht="15.75" customHeight="1" x14ac:dyDescent="0.2">
      <c r="B874" s="11"/>
    </row>
    <row r="875" spans="2:2" ht="15.75" customHeight="1" x14ac:dyDescent="0.2">
      <c r="B875" s="11"/>
    </row>
    <row r="876" spans="2:2" ht="15.75" customHeight="1" x14ac:dyDescent="0.2">
      <c r="B876" s="11"/>
    </row>
    <row r="877" spans="2:2" ht="15.75" customHeight="1" x14ac:dyDescent="0.2">
      <c r="B877" s="11"/>
    </row>
    <row r="878" spans="2:2" ht="15.75" customHeight="1" x14ac:dyDescent="0.2">
      <c r="B878" s="11"/>
    </row>
    <row r="879" spans="2:2" ht="15.75" customHeight="1" x14ac:dyDescent="0.2">
      <c r="B879" s="11"/>
    </row>
    <row r="880" spans="2:2" ht="15.75" customHeight="1" x14ac:dyDescent="0.2">
      <c r="B880" s="11"/>
    </row>
    <row r="881" spans="2:2" ht="15.75" customHeight="1" x14ac:dyDescent="0.2">
      <c r="B881" s="11"/>
    </row>
    <row r="882" spans="2:2" ht="15.75" customHeight="1" x14ac:dyDescent="0.2">
      <c r="B882" s="11"/>
    </row>
    <row r="883" spans="2:2" ht="15.75" customHeight="1" x14ac:dyDescent="0.2">
      <c r="B883" s="11"/>
    </row>
    <row r="884" spans="2:2" ht="15.75" customHeight="1" x14ac:dyDescent="0.2">
      <c r="B884" s="11"/>
    </row>
    <row r="885" spans="2:2" ht="15.75" customHeight="1" x14ac:dyDescent="0.2">
      <c r="B885" s="11"/>
    </row>
    <row r="886" spans="2:2" ht="15.75" customHeight="1" x14ac:dyDescent="0.2">
      <c r="B886" s="11"/>
    </row>
    <row r="887" spans="2:2" ht="15.75" customHeight="1" x14ac:dyDescent="0.2">
      <c r="B887" s="11"/>
    </row>
    <row r="888" spans="2:2" ht="15.75" customHeight="1" x14ac:dyDescent="0.2">
      <c r="B888" s="11"/>
    </row>
    <row r="889" spans="2:2" ht="15.75" customHeight="1" x14ac:dyDescent="0.2">
      <c r="B889" s="11"/>
    </row>
    <row r="890" spans="2:2" ht="15.75" customHeight="1" x14ac:dyDescent="0.2">
      <c r="B890" s="11"/>
    </row>
    <row r="891" spans="2:2" ht="15.75" customHeight="1" x14ac:dyDescent="0.2">
      <c r="B891" s="11"/>
    </row>
    <row r="892" spans="2:2" ht="15.75" customHeight="1" x14ac:dyDescent="0.2">
      <c r="B892" s="11"/>
    </row>
    <row r="893" spans="2:2" ht="15.75" customHeight="1" x14ac:dyDescent="0.2">
      <c r="B893" s="11"/>
    </row>
    <row r="894" spans="2:2" ht="15.75" customHeight="1" x14ac:dyDescent="0.2">
      <c r="B894" s="11"/>
    </row>
    <row r="895" spans="2:2" ht="15.75" customHeight="1" x14ac:dyDescent="0.2">
      <c r="B895" s="11"/>
    </row>
    <row r="896" spans="2:2" ht="15.75" customHeight="1" x14ac:dyDescent="0.2">
      <c r="B896" s="11"/>
    </row>
    <row r="897" spans="2:2" ht="15.75" customHeight="1" x14ac:dyDescent="0.2">
      <c r="B897" s="11"/>
    </row>
    <row r="898" spans="2:2" ht="15.75" customHeight="1" x14ac:dyDescent="0.2">
      <c r="B898" s="11"/>
    </row>
    <row r="899" spans="2:2" ht="15.75" customHeight="1" x14ac:dyDescent="0.2">
      <c r="B899" s="11"/>
    </row>
    <row r="900" spans="2:2" ht="15.75" customHeight="1" x14ac:dyDescent="0.2">
      <c r="B900" s="11"/>
    </row>
    <row r="901" spans="2:2" ht="15.75" customHeight="1" x14ac:dyDescent="0.2">
      <c r="B901" s="11"/>
    </row>
    <row r="902" spans="2:2" ht="15.75" customHeight="1" x14ac:dyDescent="0.2">
      <c r="B902" s="11"/>
    </row>
    <row r="903" spans="2:2" ht="15.75" customHeight="1" x14ac:dyDescent="0.2">
      <c r="B903" s="11"/>
    </row>
    <row r="904" spans="2:2" ht="15.75" customHeight="1" x14ac:dyDescent="0.2">
      <c r="B904" s="11"/>
    </row>
    <row r="905" spans="2:2" ht="15.75" customHeight="1" x14ac:dyDescent="0.2">
      <c r="B905" s="11"/>
    </row>
    <row r="906" spans="2:2" ht="15.75" customHeight="1" x14ac:dyDescent="0.2">
      <c r="B906" s="11"/>
    </row>
    <row r="907" spans="2:2" ht="15.75" customHeight="1" x14ac:dyDescent="0.2">
      <c r="B907" s="11"/>
    </row>
    <row r="908" spans="2:2" ht="15.75" customHeight="1" x14ac:dyDescent="0.2">
      <c r="B908" s="11"/>
    </row>
    <row r="909" spans="2:2" ht="15.75" customHeight="1" x14ac:dyDescent="0.2">
      <c r="B909" s="11"/>
    </row>
    <row r="910" spans="2:2" ht="15.75" customHeight="1" x14ac:dyDescent="0.2">
      <c r="B910" s="11"/>
    </row>
    <row r="911" spans="2:2" ht="15.75" customHeight="1" x14ac:dyDescent="0.2">
      <c r="B911" s="11"/>
    </row>
    <row r="912" spans="2:2" ht="15.75" customHeight="1" x14ac:dyDescent="0.2">
      <c r="B912" s="11"/>
    </row>
    <row r="913" spans="2:2" ht="15.75" customHeight="1" x14ac:dyDescent="0.2">
      <c r="B913" s="11"/>
    </row>
    <row r="914" spans="2:2" ht="15.75" customHeight="1" x14ac:dyDescent="0.2">
      <c r="B914" s="11"/>
    </row>
    <row r="915" spans="2:2" ht="15.75" customHeight="1" x14ac:dyDescent="0.2">
      <c r="B915" s="11"/>
    </row>
    <row r="916" spans="2:2" ht="15.75" customHeight="1" x14ac:dyDescent="0.2">
      <c r="B916" s="11"/>
    </row>
    <row r="917" spans="2:2" ht="15.75" customHeight="1" x14ac:dyDescent="0.2">
      <c r="B917" s="11"/>
    </row>
    <row r="918" spans="2:2" ht="15.75" customHeight="1" x14ac:dyDescent="0.2">
      <c r="B918" s="11"/>
    </row>
    <row r="919" spans="2:2" ht="15.75" customHeight="1" x14ac:dyDescent="0.2">
      <c r="B919" s="11"/>
    </row>
    <row r="920" spans="2:2" ht="15.75" customHeight="1" x14ac:dyDescent="0.2">
      <c r="B920" s="11"/>
    </row>
    <row r="921" spans="2:2" ht="15.75" customHeight="1" x14ac:dyDescent="0.2">
      <c r="B921" s="11"/>
    </row>
    <row r="922" spans="2:2" ht="15.75" customHeight="1" x14ac:dyDescent="0.2">
      <c r="B922" s="11"/>
    </row>
    <row r="923" spans="2:2" ht="15.75" customHeight="1" x14ac:dyDescent="0.2">
      <c r="B923" s="11"/>
    </row>
    <row r="924" spans="2:2" ht="15.75" customHeight="1" x14ac:dyDescent="0.2">
      <c r="B924" s="11"/>
    </row>
    <row r="925" spans="2:2" ht="15.75" customHeight="1" x14ac:dyDescent="0.2">
      <c r="B925" s="11"/>
    </row>
    <row r="926" spans="2:2" ht="15.75" customHeight="1" x14ac:dyDescent="0.2">
      <c r="B926" s="11"/>
    </row>
    <row r="927" spans="2:2" ht="15.75" customHeight="1" x14ac:dyDescent="0.2">
      <c r="B927" s="11"/>
    </row>
    <row r="928" spans="2:2" ht="15.75" customHeight="1" x14ac:dyDescent="0.2">
      <c r="B928" s="11"/>
    </row>
    <row r="929" spans="2:2" ht="15.75" customHeight="1" x14ac:dyDescent="0.2">
      <c r="B929" s="11"/>
    </row>
    <row r="930" spans="2:2" ht="15.75" customHeight="1" x14ac:dyDescent="0.2">
      <c r="B930" s="11"/>
    </row>
    <row r="931" spans="2:2" ht="15.75" customHeight="1" x14ac:dyDescent="0.2">
      <c r="B931" s="11"/>
    </row>
    <row r="932" spans="2:2" ht="15.75" customHeight="1" x14ac:dyDescent="0.2">
      <c r="B932" s="11"/>
    </row>
    <row r="933" spans="2:2" ht="15.75" customHeight="1" x14ac:dyDescent="0.2">
      <c r="B933" s="11"/>
    </row>
    <row r="934" spans="2:2" ht="15.75" customHeight="1" x14ac:dyDescent="0.2">
      <c r="B934" s="11"/>
    </row>
    <row r="935" spans="2:2" ht="15.75" customHeight="1" x14ac:dyDescent="0.2">
      <c r="B935" s="11"/>
    </row>
    <row r="936" spans="2:2" ht="15.75" customHeight="1" x14ac:dyDescent="0.2">
      <c r="B936" s="11"/>
    </row>
    <row r="937" spans="2:2" ht="15.75" customHeight="1" x14ac:dyDescent="0.2">
      <c r="B937" s="11"/>
    </row>
    <row r="938" spans="2:2" ht="15.75" customHeight="1" x14ac:dyDescent="0.2">
      <c r="B938" s="11"/>
    </row>
    <row r="939" spans="2:2" ht="15.75" customHeight="1" x14ac:dyDescent="0.2">
      <c r="B939" s="11"/>
    </row>
    <row r="940" spans="2:2" ht="15.75" customHeight="1" x14ac:dyDescent="0.2">
      <c r="B940" s="11"/>
    </row>
    <row r="941" spans="2:2" ht="15.75" customHeight="1" x14ac:dyDescent="0.2">
      <c r="B941" s="11"/>
    </row>
    <row r="942" spans="2:2" ht="15.75" customHeight="1" x14ac:dyDescent="0.2">
      <c r="B942" s="11"/>
    </row>
    <row r="943" spans="2:2" ht="15.75" customHeight="1" x14ac:dyDescent="0.2">
      <c r="B943" s="11"/>
    </row>
    <row r="944" spans="2:2" ht="15.75" customHeight="1" x14ac:dyDescent="0.2">
      <c r="B944" s="11"/>
    </row>
    <row r="945" spans="2:2" ht="15.75" customHeight="1" x14ac:dyDescent="0.2">
      <c r="B945" s="11"/>
    </row>
    <row r="946" spans="2:2" ht="15.75" customHeight="1" x14ac:dyDescent="0.2">
      <c r="B946" s="11"/>
    </row>
    <row r="947" spans="2:2" ht="15.75" customHeight="1" x14ac:dyDescent="0.2">
      <c r="B947" s="11"/>
    </row>
    <row r="948" spans="2:2" ht="15.75" customHeight="1" x14ac:dyDescent="0.2">
      <c r="B948" s="11"/>
    </row>
    <row r="949" spans="2:2" ht="15.75" customHeight="1" x14ac:dyDescent="0.2">
      <c r="B949" s="11"/>
    </row>
    <row r="950" spans="2:2" ht="15.75" customHeight="1" x14ac:dyDescent="0.2">
      <c r="B950" s="11"/>
    </row>
    <row r="951" spans="2:2" ht="15.75" customHeight="1" x14ac:dyDescent="0.2">
      <c r="B951" s="11"/>
    </row>
    <row r="952" spans="2:2" ht="15.75" customHeight="1" x14ac:dyDescent="0.2">
      <c r="B952" s="11"/>
    </row>
    <row r="953" spans="2:2" ht="15.75" customHeight="1" x14ac:dyDescent="0.2">
      <c r="B953" s="11"/>
    </row>
    <row r="954" spans="2:2" ht="15.75" customHeight="1" x14ac:dyDescent="0.2">
      <c r="B954" s="11"/>
    </row>
    <row r="955" spans="2:2" ht="15.75" customHeight="1" x14ac:dyDescent="0.2">
      <c r="B955" s="11"/>
    </row>
    <row r="956" spans="2:2" ht="15.75" customHeight="1" x14ac:dyDescent="0.2">
      <c r="B956" s="11"/>
    </row>
    <row r="957" spans="2:2" ht="15.75" customHeight="1" x14ac:dyDescent="0.2">
      <c r="B957" s="11"/>
    </row>
    <row r="958" spans="2:2" ht="15.75" customHeight="1" x14ac:dyDescent="0.2">
      <c r="B958" s="11"/>
    </row>
    <row r="959" spans="2:2" ht="15.75" customHeight="1" x14ac:dyDescent="0.2">
      <c r="B959" s="11"/>
    </row>
    <row r="960" spans="2:2" ht="15.75" customHeight="1" x14ac:dyDescent="0.2">
      <c r="B960" s="11"/>
    </row>
    <row r="961" spans="2:2" ht="15.75" customHeight="1" x14ac:dyDescent="0.2">
      <c r="B961" s="11"/>
    </row>
    <row r="962" spans="2:2" ht="15.75" customHeight="1" x14ac:dyDescent="0.2">
      <c r="B962" s="11"/>
    </row>
    <row r="963" spans="2:2" ht="15.75" customHeight="1" x14ac:dyDescent="0.2">
      <c r="B963" s="11"/>
    </row>
    <row r="964" spans="2:2" ht="15.75" customHeight="1" x14ac:dyDescent="0.2">
      <c r="B964" s="11"/>
    </row>
    <row r="965" spans="2:2" ht="15.75" customHeight="1" x14ac:dyDescent="0.2">
      <c r="B965" s="11"/>
    </row>
    <row r="966" spans="2:2" ht="15.75" customHeight="1" x14ac:dyDescent="0.2">
      <c r="B966" s="11"/>
    </row>
    <row r="967" spans="2:2" ht="15.75" customHeight="1" x14ac:dyDescent="0.2">
      <c r="B967" s="11"/>
    </row>
    <row r="968" spans="2:2" ht="15.75" customHeight="1" x14ac:dyDescent="0.2">
      <c r="B968" s="11"/>
    </row>
    <row r="969" spans="2:2" ht="15.75" customHeight="1" x14ac:dyDescent="0.2">
      <c r="B969" s="11"/>
    </row>
    <row r="970" spans="2:2" ht="15.75" customHeight="1" x14ac:dyDescent="0.2">
      <c r="B970" s="11"/>
    </row>
    <row r="971" spans="2:2" ht="15.75" customHeight="1" x14ac:dyDescent="0.2">
      <c r="B971" s="11"/>
    </row>
    <row r="972" spans="2:2" ht="15.75" customHeight="1" x14ac:dyDescent="0.2">
      <c r="B972" s="11"/>
    </row>
    <row r="973" spans="2:2" ht="15.75" customHeight="1" x14ac:dyDescent="0.2">
      <c r="B973" s="11"/>
    </row>
    <row r="974" spans="2:2" ht="15.75" customHeight="1" x14ac:dyDescent="0.2">
      <c r="B974" s="11"/>
    </row>
    <row r="975" spans="2:2" ht="15.75" customHeight="1" x14ac:dyDescent="0.2">
      <c r="B975" s="11"/>
    </row>
    <row r="976" spans="2:2" ht="15.75" customHeight="1" x14ac:dyDescent="0.2">
      <c r="B976" s="11"/>
    </row>
    <row r="977" spans="2:2" ht="15.75" customHeight="1" x14ac:dyDescent="0.2">
      <c r="B977" s="11"/>
    </row>
    <row r="978" spans="2:2" ht="15.75" customHeight="1" x14ac:dyDescent="0.2">
      <c r="B978" s="11"/>
    </row>
    <row r="979" spans="2:2" ht="15.75" customHeight="1" x14ac:dyDescent="0.2">
      <c r="B979" s="11"/>
    </row>
    <row r="980" spans="2:2" ht="15.75" customHeight="1" x14ac:dyDescent="0.2">
      <c r="B980" s="11"/>
    </row>
    <row r="981" spans="2:2" ht="15.75" customHeight="1" x14ac:dyDescent="0.2">
      <c r="B981" s="11"/>
    </row>
    <row r="982" spans="2:2" ht="15.75" customHeight="1" x14ac:dyDescent="0.2">
      <c r="B982" s="11"/>
    </row>
    <row r="983" spans="2:2" ht="15.75" customHeight="1" x14ac:dyDescent="0.2">
      <c r="B983" s="11"/>
    </row>
    <row r="984" spans="2:2" ht="15.75" customHeight="1" x14ac:dyDescent="0.2">
      <c r="B984" s="11"/>
    </row>
    <row r="985" spans="2:2" ht="15.75" customHeight="1" x14ac:dyDescent="0.2">
      <c r="B985" s="11"/>
    </row>
    <row r="986" spans="2:2" ht="15.75" customHeight="1" x14ac:dyDescent="0.2">
      <c r="B986" s="11"/>
    </row>
    <row r="987" spans="2:2" ht="15.75" customHeight="1" x14ac:dyDescent="0.2">
      <c r="B987" s="11"/>
    </row>
    <row r="988" spans="2:2" ht="15.75" customHeight="1" x14ac:dyDescent="0.2">
      <c r="B988" s="11"/>
    </row>
    <row r="989" spans="2:2" ht="15.75" customHeight="1" x14ac:dyDescent="0.2">
      <c r="B989" s="11"/>
    </row>
    <row r="990" spans="2:2" ht="15.75" customHeight="1" x14ac:dyDescent="0.2">
      <c r="B990" s="11"/>
    </row>
    <row r="991" spans="2:2" ht="15.75" customHeight="1" x14ac:dyDescent="0.2">
      <c r="B991" s="11"/>
    </row>
    <row r="992" spans="2:2" ht="15.75" customHeight="1" x14ac:dyDescent="0.2">
      <c r="B992" s="11"/>
    </row>
    <row r="993" spans="2:2" ht="15.75" customHeight="1" x14ac:dyDescent="0.2">
      <c r="B993" s="11"/>
    </row>
    <row r="994" spans="2:2" ht="15.75" customHeight="1" x14ac:dyDescent="0.2">
      <c r="B994" s="11"/>
    </row>
    <row r="995" spans="2:2" ht="15.75" customHeight="1" x14ac:dyDescent="0.2">
      <c r="B995" s="11"/>
    </row>
    <row r="996" spans="2:2" ht="15.75" customHeight="1" x14ac:dyDescent="0.2">
      <c r="B996" s="11"/>
    </row>
    <row r="997" spans="2:2" ht="15.75" customHeight="1" x14ac:dyDescent="0.2">
      <c r="B997" s="11"/>
    </row>
    <row r="998" spans="2:2" ht="15.75" customHeight="1" x14ac:dyDescent="0.2">
      <c r="B998" s="11"/>
    </row>
    <row r="999" spans="2:2" ht="15.75" customHeight="1" x14ac:dyDescent="0.2">
      <c r="B999" s="11"/>
    </row>
    <row r="1000" spans="2:2" ht="15.75" customHeight="1" x14ac:dyDescent="0.2">
      <c r="B1000" s="11"/>
    </row>
  </sheetData>
  <mergeCells count="1">
    <mergeCell ref="A1:G1"/>
  </mergeCells>
  <hyperlinks>
    <hyperlink ref="G6" r:id="rId1" xr:uid="{00000000-0004-0000-0400-000000000000}"/>
    <hyperlink ref="G8" r:id="rId2" xr:uid="{00000000-0004-0000-0400-000001000000}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"/>
  <sheetViews>
    <sheetView workbookViewId="0"/>
  </sheetViews>
  <sheetFormatPr baseColWidth="10" defaultColWidth="14.5" defaultRowHeight="15" customHeight="1" x14ac:dyDescent="0.2"/>
  <cols>
    <col min="1" max="1" width="114.33203125" customWidth="1"/>
    <col min="2" max="2" width="56.6640625" customWidth="1"/>
  </cols>
  <sheetData>
    <row r="1" spans="1:25" x14ac:dyDescent="0.2">
      <c r="A1" s="17" t="s">
        <v>179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x14ac:dyDescent="0.2">
      <c r="A2" s="18" t="s">
        <v>180</v>
      </c>
      <c r="B2" s="19" t="s">
        <v>181</v>
      </c>
    </row>
    <row r="3" spans="1:25" x14ac:dyDescent="0.2">
      <c r="A3" s="18"/>
    </row>
    <row r="4" spans="1:25" x14ac:dyDescent="0.2">
      <c r="A4" s="18"/>
    </row>
    <row r="5" spans="1:25" x14ac:dyDescent="0.2">
      <c r="A5" s="18" t="s">
        <v>182</v>
      </c>
    </row>
    <row r="6" spans="1:25" x14ac:dyDescent="0.2">
      <c r="A6" s="18" t="s">
        <v>183</v>
      </c>
    </row>
    <row r="7" spans="1:25" x14ac:dyDescent="0.2">
      <c r="A7" s="18"/>
    </row>
    <row r="8" spans="1:25" x14ac:dyDescent="0.2">
      <c r="A8" s="18"/>
    </row>
    <row r="9" spans="1:25" x14ac:dyDescent="0.2">
      <c r="A9" s="18" t="s">
        <v>184</v>
      </c>
    </row>
    <row r="10" spans="1:25" x14ac:dyDescent="0.2">
      <c r="A10" s="18" t="s">
        <v>180</v>
      </c>
      <c r="B10" s="18" t="s">
        <v>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1_Instrucoes</vt:lpstr>
      <vt:lpstr>Planilha1</vt:lpstr>
      <vt:lpstr>2_UnitEconomics_POC</vt:lpstr>
      <vt:lpstr>3_Recrutamento_Filtros</vt:lpstr>
      <vt:lpstr>4_Base_Curitiba_Log</vt:lpstr>
      <vt:lpstr>5_Mapa_Fiscal</vt:lpstr>
      <vt:lpstr>Social Listening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Nogueira</cp:lastModifiedBy>
  <dcterms:created xsi:type="dcterms:W3CDTF">2026-03-16T18:57:47Z</dcterms:created>
  <dcterms:modified xsi:type="dcterms:W3CDTF">2026-03-24T12:11:18Z</dcterms:modified>
</cp:coreProperties>
</file>