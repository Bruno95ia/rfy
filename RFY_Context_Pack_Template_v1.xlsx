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uno/Desktop/"/>
    </mc:Choice>
  </mc:AlternateContent>
  <xr:revisionPtr revIDLastSave="0" documentId="8_{016FC121-6100-FE42-90E5-0A0982539EA1}" xr6:coauthVersionLast="47" xr6:coauthVersionMax="47" xr10:uidLastSave="{00000000-0000-0000-0000-000000000000}"/>
  <bookViews>
    <workbookView xWindow="0" yWindow="620" windowWidth="33600" windowHeight="18880" xr2:uid="{00000000-000D-0000-FFFF-FFFF00000000}"/>
  </bookViews>
  <sheets>
    <sheet name="01_Instrucoes" sheetId="1" r:id="rId1"/>
    <sheet name="02_Identificacao_Contatos" sheetId="2" r:id="rId2"/>
    <sheet name="03_Objetivos_Sponsors" sheetId="3" r:id="rId3"/>
    <sheet name="04_Processo_Comercial" sheetId="4" r:id="rId4"/>
    <sheet name="05_Perfil_Metricas" sheetId="5" r:id="rId5"/>
    <sheet name="06_Config_Operacional" sheetId="6" r:id="rId6"/>
    <sheet name="07_Integracoes_Dados" sheetId="7" r:id="rId7"/>
    <sheet name="08_Pipeline_Manual" sheetId="8" r:id="rId8"/>
    <sheet name="09_Campanhas_Canais" sheetId="9" r:id="rId9"/>
    <sheet name="10_UnitEconomics" sheetId="10" r:id="rId10"/>
    <sheet name="11_Recrutamento_Filtros" sheetId="11" r:id="rId11"/>
    <sheet name="12_Base_Logistica" sheetId="12" r:id="rId12"/>
    <sheet name="13_Mapa_Fiscal_Fin" sheetId="13" r:id="rId13"/>
    <sheet name="14_Tecnologia_Roadmap" sheetId="14" r:id="rId14"/>
    <sheet name="15_Governanca_Politicas" sheetId="15" r:id="rId15"/>
    <sheet name="16_Rituais_PAIP" sheetId="16" r:id="rId16"/>
    <sheet name="17_Acessos_Arquivos" sheetId="17" r:id="rId17"/>
    <sheet name="18_Status_Projeto" sheetId="18" r:id="rId18"/>
    <sheet name="19_Resumo_Completude" sheetId="19"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19" l="1"/>
  <c r="C20" i="19"/>
  <c r="E20" i="19" s="1"/>
  <c r="G20" i="19" s="1"/>
  <c r="C19" i="19"/>
  <c r="E19" i="19" s="1"/>
  <c r="G19" i="19" s="1"/>
  <c r="C18" i="19"/>
  <c r="E18" i="19" s="1"/>
  <c r="G18" i="19" s="1"/>
  <c r="C17" i="19"/>
  <c r="E17" i="19" s="1"/>
  <c r="G17" i="19" s="1"/>
  <c r="C16" i="19"/>
  <c r="E16" i="19" s="1"/>
  <c r="G16" i="19" s="1"/>
  <c r="C15" i="19"/>
  <c r="E15" i="19" s="1"/>
  <c r="G15" i="19" s="1"/>
  <c r="E14" i="19"/>
  <c r="G14" i="19" s="1"/>
  <c r="C14" i="19"/>
  <c r="C13" i="19"/>
  <c r="E13" i="19" s="1"/>
  <c r="G13" i="19" s="1"/>
  <c r="E12" i="19"/>
  <c r="G12" i="19" s="1"/>
  <c r="C12" i="19"/>
  <c r="C11" i="19"/>
  <c r="E11" i="19" s="1"/>
  <c r="G11" i="19" s="1"/>
  <c r="E10" i="19"/>
  <c r="G10" i="19" s="1"/>
  <c r="C10" i="19"/>
  <c r="C9" i="19"/>
  <c r="E9" i="19" s="1"/>
  <c r="G9" i="19" s="1"/>
  <c r="C8" i="19"/>
  <c r="E8" i="19" s="1"/>
  <c r="G8" i="19" s="1"/>
  <c r="C7" i="19"/>
  <c r="E7" i="19" s="1"/>
  <c r="G7" i="19" s="1"/>
  <c r="E6" i="19"/>
  <c r="G6" i="19" s="1"/>
  <c r="C6" i="19"/>
  <c r="C5" i="19"/>
  <c r="E5" i="19" s="1"/>
  <c r="G5" i="19" s="1"/>
  <c r="K29" i="11"/>
  <c r="J29" i="11"/>
  <c r="I29" i="11"/>
  <c r="K28" i="11"/>
  <c r="J28" i="11"/>
  <c r="I28" i="11"/>
  <c r="K27" i="11"/>
  <c r="J27" i="11"/>
  <c r="I27" i="11"/>
  <c r="K26" i="11"/>
  <c r="J26" i="11"/>
  <c r="I26" i="11"/>
  <c r="K25" i="11"/>
  <c r="J25" i="11"/>
  <c r="I25" i="11"/>
  <c r="K24" i="11"/>
  <c r="J24" i="11"/>
  <c r="I24" i="11"/>
  <c r="K23" i="11"/>
  <c r="J23" i="11"/>
  <c r="I23" i="11"/>
  <c r="K22" i="11"/>
  <c r="J22" i="11"/>
  <c r="I22" i="11"/>
  <c r="K21" i="11"/>
  <c r="J21" i="11"/>
  <c r="I21" i="11"/>
  <c r="K20" i="11"/>
  <c r="J20" i="11"/>
  <c r="I20" i="11"/>
  <c r="K19" i="11"/>
  <c r="J19" i="11"/>
  <c r="I19" i="11"/>
  <c r="K18" i="11"/>
  <c r="J18" i="11"/>
  <c r="I18" i="11"/>
  <c r="K17" i="11"/>
  <c r="J17" i="11"/>
  <c r="I17" i="11"/>
  <c r="K16" i="11"/>
  <c r="J16" i="11"/>
  <c r="I16" i="11"/>
  <c r="K15" i="11"/>
  <c r="J15" i="11"/>
  <c r="I15" i="11"/>
  <c r="K14" i="11"/>
  <c r="J14" i="11"/>
  <c r="I14" i="11"/>
  <c r="K13" i="11"/>
  <c r="J13" i="11"/>
  <c r="I13" i="11"/>
  <c r="K12" i="11"/>
  <c r="J12" i="11"/>
  <c r="I12" i="11"/>
  <c r="K11" i="11"/>
  <c r="J11" i="11"/>
  <c r="I11" i="11"/>
  <c r="K10" i="11"/>
  <c r="J10" i="11"/>
  <c r="I10" i="11"/>
  <c r="K9" i="11"/>
  <c r="J9" i="11"/>
  <c r="I9" i="11"/>
  <c r="K8" i="11"/>
  <c r="J8" i="11"/>
  <c r="I8" i="11"/>
  <c r="K7" i="11"/>
  <c r="J7" i="11"/>
  <c r="I7" i="11"/>
  <c r="K6" i="11"/>
  <c r="J6" i="11"/>
  <c r="I6" i="11"/>
  <c r="K5" i="11"/>
  <c r="J5" i="11"/>
  <c r="I5" i="11"/>
  <c r="G15" i="10"/>
  <c r="G14" i="10"/>
  <c r="G13" i="10"/>
  <c r="G12" i="10"/>
  <c r="G11" i="10"/>
  <c r="G10" i="10"/>
  <c r="G9" i="10"/>
  <c r="G8" i="10"/>
  <c r="G7" i="10"/>
  <c r="G6" i="10"/>
  <c r="G5" i="10"/>
  <c r="B24" i="10" s="1"/>
  <c r="B26" i="10" s="1"/>
  <c r="B27" i="10" s="1"/>
  <c r="C23" i="19" l="1"/>
  <c r="E23" i="19" s="1"/>
  <c r="G23" i="1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5" authorId="0" shapeId="0" xr:uid="{00000000-0006-0000-0100-000001000000}">
      <text>
        <r>
          <rPr>
            <sz val="11"/>
            <color theme="1"/>
            <rFont val="Calibri"/>
            <family val="2"/>
            <scheme val="minor"/>
          </rPr>
          <t>Preencha o valor principal do campo.</t>
        </r>
      </text>
    </comment>
    <comment ref="B6" authorId="0" shapeId="0" xr:uid="{00000000-0006-0000-0100-000002000000}">
      <text>
        <r>
          <rPr>
            <sz val="11"/>
            <color theme="1"/>
            <rFont val="Calibri"/>
            <family val="2"/>
            <scheme val="minor"/>
          </rPr>
          <t>Preencha o valor principal do campo.</t>
        </r>
      </text>
    </comment>
    <comment ref="B7" authorId="0" shapeId="0" xr:uid="{00000000-0006-0000-0100-000003000000}">
      <text>
        <r>
          <rPr>
            <sz val="11"/>
            <color theme="1"/>
            <rFont val="Calibri"/>
            <family val="2"/>
            <scheme val="minor"/>
          </rPr>
          <t>Preencha o valor principal do campo.</t>
        </r>
      </text>
    </comment>
    <comment ref="B8" authorId="0" shapeId="0" xr:uid="{00000000-0006-0000-0100-000004000000}">
      <text>
        <r>
          <rPr>
            <sz val="11"/>
            <color theme="1"/>
            <rFont val="Calibri"/>
            <family val="2"/>
            <scheme val="minor"/>
          </rPr>
          <t>Preencha o valor principal do campo.</t>
        </r>
      </text>
    </comment>
    <comment ref="B9" authorId="0" shapeId="0" xr:uid="{00000000-0006-0000-0100-000005000000}">
      <text>
        <r>
          <rPr>
            <sz val="11"/>
            <color theme="1"/>
            <rFont val="Calibri"/>
            <family val="2"/>
            <scheme val="minor"/>
          </rPr>
          <t>Preencha o valor principal do campo.</t>
        </r>
      </text>
    </comment>
    <comment ref="B10" authorId="0" shapeId="0" xr:uid="{00000000-0006-0000-0100-000006000000}">
      <text>
        <r>
          <rPr>
            <sz val="11"/>
            <color theme="1"/>
            <rFont val="Calibri"/>
            <family val="2"/>
            <scheme val="minor"/>
          </rPr>
          <t>Preencha o valor principal do campo.</t>
        </r>
      </text>
    </comment>
    <comment ref="B11" authorId="0" shapeId="0" xr:uid="{00000000-0006-0000-0100-000007000000}">
      <text>
        <r>
          <rPr>
            <sz val="11"/>
            <color theme="1"/>
            <rFont val="Calibri"/>
            <family val="2"/>
            <scheme val="minor"/>
          </rPr>
          <t>Preencha o valor principal do campo.</t>
        </r>
      </text>
    </comment>
    <comment ref="B12" authorId="0" shapeId="0" xr:uid="{00000000-0006-0000-0100-000008000000}">
      <text>
        <r>
          <rPr>
            <sz val="11"/>
            <color theme="1"/>
            <rFont val="Calibri"/>
            <family val="2"/>
            <scheme val="minor"/>
          </rPr>
          <t>Preencha o valor principal do campo.</t>
        </r>
      </text>
    </comment>
    <comment ref="B13" authorId="0" shapeId="0" xr:uid="{00000000-0006-0000-0100-000009000000}">
      <text>
        <r>
          <rPr>
            <sz val="11"/>
            <color theme="1"/>
            <rFont val="Calibri"/>
            <family val="2"/>
            <scheme val="minor"/>
          </rPr>
          <t>Preencha o valor principal do campo.</t>
        </r>
      </text>
    </comment>
    <comment ref="B14" authorId="0" shapeId="0" xr:uid="{00000000-0006-0000-0100-00000A000000}">
      <text>
        <r>
          <rPr>
            <sz val="11"/>
            <color theme="1"/>
            <rFont val="Calibri"/>
            <family val="2"/>
            <scheme val="minor"/>
          </rPr>
          <t>Preencha o valor principal do campo.</t>
        </r>
      </text>
    </comment>
    <comment ref="B15" authorId="0" shapeId="0" xr:uid="{00000000-0006-0000-0100-00000B000000}">
      <text>
        <r>
          <rPr>
            <sz val="11"/>
            <color theme="1"/>
            <rFont val="Calibri"/>
            <family val="2"/>
            <scheme val="minor"/>
          </rPr>
          <t>Preencha o valor principal do campo.</t>
        </r>
      </text>
    </comment>
    <comment ref="B16" authorId="0" shapeId="0" xr:uid="{00000000-0006-0000-0100-00000C000000}">
      <text>
        <r>
          <rPr>
            <sz val="11"/>
            <color theme="1"/>
            <rFont val="Calibri"/>
            <family val="2"/>
            <scheme val="minor"/>
          </rPr>
          <t>Preencha o valor principal do campo.</t>
        </r>
      </text>
    </comment>
    <comment ref="B17" authorId="0" shapeId="0" xr:uid="{00000000-0006-0000-0100-00000D000000}">
      <text>
        <r>
          <rPr>
            <sz val="11"/>
            <color theme="1"/>
            <rFont val="Calibri"/>
            <family val="2"/>
            <scheme val="minor"/>
          </rPr>
          <t>Preencha o valor principal do campo.</t>
        </r>
      </text>
    </comment>
    <comment ref="B18" authorId="0" shapeId="0" xr:uid="{00000000-0006-0000-0100-00000E000000}">
      <text>
        <r>
          <rPr>
            <sz val="11"/>
            <color theme="1"/>
            <rFont val="Calibri"/>
            <family val="2"/>
            <scheme val="minor"/>
          </rPr>
          <t>Preencha o valor principal do campo.</t>
        </r>
      </text>
    </comment>
    <comment ref="B19" authorId="0" shapeId="0" xr:uid="{00000000-0006-0000-0100-00000F000000}">
      <text>
        <r>
          <rPr>
            <sz val="11"/>
            <color theme="1"/>
            <rFont val="Calibri"/>
            <family val="2"/>
            <scheme val="minor"/>
          </rPr>
          <t>Preencha o valor principal do campo.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5" authorId="0" shapeId="0" xr:uid="{00000000-0006-0000-0600-000001000000}">
      <text>
        <r>
          <rPr>
            <sz val="11"/>
            <color theme="1"/>
            <rFont val="Calibri"/>
            <family val="2"/>
            <scheme val="minor"/>
          </rPr>
          <t>Ex.: Hubspot, Pipedrive, SAP, planilha, SendPulse, RD, Omie, etc.</t>
        </r>
      </text>
    </comment>
    <comment ref="B6" authorId="0" shapeId="0" xr:uid="{00000000-0006-0000-0600-000002000000}">
      <text>
        <r>
          <rPr>
            <sz val="11"/>
            <color theme="1"/>
            <rFont val="Calibri"/>
            <family val="2"/>
            <scheme val="minor"/>
          </rPr>
          <t>Ex.: Hubspot, Pipedrive, SAP, planilha, SendPulse, RD, Omie, etc.</t>
        </r>
      </text>
    </comment>
    <comment ref="B7" authorId="0" shapeId="0" xr:uid="{00000000-0006-0000-0600-000003000000}">
      <text>
        <r>
          <rPr>
            <sz val="11"/>
            <color theme="1"/>
            <rFont val="Calibri"/>
            <family val="2"/>
            <scheme val="minor"/>
          </rPr>
          <t>Ex.: Hubspot, Pipedrive, SAP, planilha, SendPulse, RD, Omie, etc.</t>
        </r>
      </text>
    </comment>
    <comment ref="B8" authorId="0" shapeId="0" xr:uid="{00000000-0006-0000-0600-000004000000}">
      <text>
        <r>
          <rPr>
            <sz val="11"/>
            <color theme="1"/>
            <rFont val="Calibri"/>
            <family val="2"/>
            <scheme val="minor"/>
          </rPr>
          <t>Ex.: Hubspot, Pipedrive, SAP, planilha, SendPulse, RD, Omie, etc.</t>
        </r>
      </text>
    </comment>
    <comment ref="B9" authorId="0" shapeId="0" xr:uid="{00000000-0006-0000-0600-000005000000}">
      <text>
        <r>
          <rPr>
            <sz val="11"/>
            <color theme="1"/>
            <rFont val="Calibri"/>
            <family val="2"/>
            <scheme val="minor"/>
          </rPr>
          <t>Ex.: Hubspot, Pipedrive, SAP, planilha, SendPulse, RD, Omie, etc.</t>
        </r>
      </text>
    </comment>
    <comment ref="B10" authorId="0" shapeId="0" xr:uid="{00000000-0006-0000-0600-000006000000}">
      <text>
        <r>
          <rPr>
            <sz val="11"/>
            <color theme="1"/>
            <rFont val="Calibri"/>
            <family val="2"/>
            <scheme val="minor"/>
          </rPr>
          <t>Ex.: Hubspot, Pipedrive, SAP, planilha, SendPulse, RD, Omie, etc.</t>
        </r>
      </text>
    </comment>
    <comment ref="B11" authorId="0" shapeId="0" xr:uid="{00000000-0006-0000-0600-000007000000}">
      <text>
        <r>
          <rPr>
            <sz val="11"/>
            <color theme="1"/>
            <rFont val="Calibri"/>
            <family val="2"/>
            <scheme val="minor"/>
          </rPr>
          <t>Ex.: Hubspot, Pipedrive, SAP, planilha, SendPulse, RD, Omie, etc.</t>
        </r>
      </text>
    </comment>
    <comment ref="B12" authorId="0" shapeId="0" xr:uid="{00000000-0006-0000-0600-000008000000}">
      <text>
        <r>
          <rPr>
            <sz val="11"/>
            <color theme="1"/>
            <rFont val="Calibri"/>
            <family val="2"/>
            <scheme val="minor"/>
          </rPr>
          <t>Ex.: Hubspot, Pipedrive, SAP, planilha, SendPulse, RD, Omie, etc.</t>
        </r>
      </text>
    </comment>
    <comment ref="B13" authorId="0" shapeId="0" xr:uid="{00000000-0006-0000-0600-000009000000}">
      <text>
        <r>
          <rPr>
            <sz val="11"/>
            <color theme="1"/>
            <rFont val="Calibri"/>
            <family val="2"/>
            <scheme val="minor"/>
          </rPr>
          <t>Ex.: Hubspot, Pipedrive, SAP, planilha, SendPulse, RD, Omie, etc.</t>
        </r>
      </text>
    </comment>
    <comment ref="B14" authorId="0" shapeId="0" xr:uid="{00000000-0006-0000-0600-00000A000000}">
      <text>
        <r>
          <rPr>
            <sz val="11"/>
            <color theme="1"/>
            <rFont val="Calibri"/>
            <family val="2"/>
            <scheme val="minor"/>
          </rPr>
          <t>Ex.: Hubspot, Pipedrive, SAP, planilha, SendPulse, RD, Omie, etc.</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9" authorId="0" shapeId="0" xr:uid="{00000000-0006-0000-0900-000001000000}">
      <text>
        <r>
          <rPr>
            <sz val="11"/>
            <color theme="1"/>
            <rFont val="Calibri"/>
            <family val="2"/>
            <scheme val="minor"/>
          </rPr>
          <t>Exemplo: 150</t>
        </r>
      </text>
    </comment>
  </commentList>
</comments>
</file>

<file path=xl/sharedStrings.xml><?xml version="1.0" encoding="utf-8"?>
<sst xmlns="http://schemas.openxmlformats.org/spreadsheetml/2006/main" count="441" uniqueCount="349">
  <si>
    <t>Context Pack RFY / SUPHO — Template de Coleta Estruturada</t>
  </si>
  <si>
    <t>Objetivo: permitir que o sistema gere insights e decisões mesmo sem CRM/ERP. Preencha as abas amarelas e faça o upload do arquivo no sistema.</t>
  </si>
  <si>
    <t>Como usar</t>
  </si>
  <si>
    <t>1) Preencha primeiro as abas 02 a 07. 2) Se não houver CRM/ERP, preencha obrigatoriamente as abas 08, 09, 10, 13 e 16. 3) Se houver dados históricos/operacionais, preencha 11, 12 e 14. 4) Suba documentos de apoio na knowledge base e referencie-os nas abas 17 e 18.</t>
  </si>
  <si>
    <t>Mínimo viável sem CRM/ERP</t>
  </si>
  <si>
    <t>Identificação e contatos; objetivos/sponsors; processo comercial; pipeline manual; métricas de referência; unit economics; governança/rituais; documentos/evidências.</t>
  </si>
  <si>
    <t>O que o sistema vai usar</t>
  </si>
  <si>
    <t>O RFY cruza este template com o diagnóstico SUPHO, documentos da knowledge base e integrações (se existirem) para gerar: painel de maturidade, insights, plano 30/60/90, rituais e alertas.</t>
  </si>
  <si>
    <t>Cores</t>
  </si>
  <si>
    <t>Amarelo = preencher | Azul claro = explicação | Roxo = lógica/controle | Verde = calculado/ok | Laranja = atenção.</t>
  </si>
  <si>
    <t>Responsável pelo preenchimento</t>
  </si>
  <si>
    <t>Idealmente uma pessoa coordena o arquivo (sponsor/operações), pedindo informações para comercial, marketing, financeiro, tecnologia e liderança.</t>
  </si>
  <si>
    <t>Importante: CRM/ERP são apenas uma das fontes. O contexto real do cliente também precisa estar estruturado aqui para que o sistema produza números e decisões realistas.</t>
  </si>
  <si>
    <t>Identificação e contatos</t>
  </si>
  <si>
    <t>Preencha os dados básicos da organização, contatos-chave e responsáveis do projeto.</t>
  </si>
  <si>
    <t>Campo</t>
  </si>
  <si>
    <t>Valor</t>
  </si>
  <si>
    <t>Responsável interno</t>
  </si>
  <si>
    <t>Contato</t>
  </si>
  <si>
    <t>Observações</t>
  </si>
  <si>
    <t>Obrigatório?</t>
  </si>
  <si>
    <t>Status</t>
  </si>
  <si>
    <t>Data atualização</t>
  </si>
  <si>
    <t>Razão social</t>
  </si>
  <si>
    <t>Sim</t>
  </si>
  <si>
    <t>Nome fantasia</t>
  </si>
  <si>
    <t>CNPJ</t>
  </si>
  <si>
    <t>Site</t>
  </si>
  <si>
    <t>Não</t>
  </si>
  <si>
    <t>Segmento principal</t>
  </si>
  <si>
    <t>ICP prioritário (Indústria / Tech-Serviços / Outro)</t>
  </si>
  <si>
    <t>Cidade / Estado sede</t>
  </si>
  <si>
    <t>Sponsor executivo</t>
  </si>
  <si>
    <t>Responsável operacional do projeto</t>
  </si>
  <si>
    <t>Responsável comercial</t>
  </si>
  <si>
    <t>Responsável marketing</t>
  </si>
  <si>
    <t>Responsável financeiro</t>
  </si>
  <si>
    <t>Responsável tecnologia</t>
  </si>
  <si>
    <t>Canal oficial do projeto (e-mail / WhatsApp / Drive / Slack)</t>
  </si>
  <si>
    <t>SLA interno de resposta (h úteis)</t>
  </si>
  <si>
    <t>Objetivos, sponsor e prioridades</t>
  </si>
  <si>
    <t>Use esta aba para dar contexto estratégico ao sistema.</t>
  </si>
  <si>
    <t>Tema</t>
  </si>
  <si>
    <t>Resposta</t>
  </si>
  <si>
    <t>Métrica/valor atual</t>
  </si>
  <si>
    <t>Meta 90 dias</t>
  </si>
  <si>
    <t>Meta 180 dias</t>
  </si>
  <si>
    <t>Responsável</t>
  </si>
  <si>
    <t>Prioridade</t>
  </si>
  <si>
    <t>Objetivo principal do projeto em 1 frase</t>
  </si>
  <si>
    <t>O que seria sucesso em 90 dias</t>
  </si>
  <si>
    <t>O que seria sucesso em 180 dias</t>
  </si>
  <si>
    <t>3 dores prioritárias que queremos resolver</t>
  </si>
  <si>
    <t>3 riscos que mais preocupam hoje</t>
  </si>
  <si>
    <t>Decisões que estão travadas hoje</t>
  </si>
  <si>
    <t>Áreas mais impactadas (vendas, marketing, operação, financeiro, produto, RH, TI)</t>
  </si>
  <si>
    <t>Restrições importantes (caixa, time, prazo, tecnologia, compliance)</t>
  </si>
  <si>
    <t>Processo comercial e glossário</t>
  </si>
  <si>
    <t>Descreva como o cliente vende hoje, mesmo que o processo ainda seja manual.</t>
  </si>
  <si>
    <t>Como funciona hoje</t>
  </si>
  <si>
    <t>Etapas/nomes</t>
  </si>
  <si>
    <t>Critério de passagem</t>
  </si>
  <si>
    <t>Dores/gargalos</t>
  </si>
  <si>
    <t>Owner</t>
  </si>
  <si>
    <t>Documento/evidência</t>
  </si>
  <si>
    <t>ICP / personas prioritárias</t>
  </si>
  <si>
    <t>Oferta principal</t>
  </si>
  <si>
    <t>Oferta secundária / upsell</t>
  </si>
  <si>
    <t>Funil comercial (nomes das etapas)</t>
  </si>
  <si>
    <t>Definição de lead qualificado</t>
  </si>
  <si>
    <t>Definição de oportunidade</t>
  </si>
  <si>
    <t>Definição de proposta enviada</t>
  </si>
  <si>
    <t>Definição de venda fechada</t>
  </si>
  <si>
    <t>Objeções mais comuns</t>
  </si>
  <si>
    <t>Política de dados / privacidade / exclusividade</t>
  </si>
  <si>
    <t>Glossário interno (siglas e termos usados pela empresa)</t>
  </si>
  <si>
    <t>Perfil e métricas de referência</t>
  </si>
  <si>
    <t>Informe os números-base para comparar antes/depois do piloto.</t>
  </si>
  <si>
    <t>Métrica</t>
  </si>
  <si>
    <t>Valor atual</t>
  </si>
  <si>
    <t>Fonte / como mede</t>
  </si>
  <si>
    <t>Periodicidade</t>
  </si>
  <si>
    <t>Receita mensal média</t>
  </si>
  <si>
    <t>Receita últimos 12 meses</t>
  </si>
  <si>
    <t>Ticket médio</t>
  </si>
  <si>
    <t>Prazo médio de recebimento</t>
  </si>
  <si>
    <t>Cobertura de pipeline</t>
  </si>
  <si>
    <t>Tempo de ciclo comercial (dias)</t>
  </si>
  <si>
    <t>Win rate (%)</t>
  </si>
  <si>
    <t>Nº reuniões/mês</t>
  </si>
  <si>
    <t>Nº propostas/mês</t>
  </si>
  <si>
    <t>Nº vendas/mês</t>
  </si>
  <si>
    <t>Capacidade operacional (projetos/mês)</t>
  </si>
  <si>
    <t>NPS / satisfação (se existir)</t>
  </si>
  <si>
    <t>MRR (se existir assinatura)</t>
  </si>
  <si>
    <t>Churn (se existir assinatura)</t>
  </si>
  <si>
    <t>Configuração operacional e alertas</t>
  </si>
  <si>
    <t>Defina rotina, SLAs, limites e alertas para o sistema entender a operação.</t>
  </si>
  <si>
    <t>Configuração atual</t>
  </si>
  <si>
    <t>Limite / regra</t>
  </si>
  <si>
    <t>Canal do alerta</t>
  </si>
  <si>
    <t>SLA resposta lead</t>
  </si>
  <si>
    <t>SLA resposta cliente</t>
  </si>
  <si>
    <t>SLA entrega projeto/POC</t>
  </si>
  <si>
    <t>Capacidade máxima de projetos simultâneos</t>
  </si>
  <si>
    <t>O que caracteriza atraso</t>
  </si>
  <si>
    <t>O que caracteriza deal crítico</t>
  </si>
  <si>
    <t>Tempo sem atividade para virar fricção</t>
  </si>
  <si>
    <t>A quem alertar em caso crítico</t>
  </si>
  <si>
    <t>Ritual semanal atual</t>
  </si>
  <si>
    <t>Ritual executivo mensal atual</t>
  </si>
  <si>
    <t>Integrações, sistemas e fontes de dados</t>
  </si>
  <si>
    <t>Liste o que existe hoje e qual o grau de confiabilidade. Não precisa estar 100% integrado.</t>
  </si>
  <si>
    <t>Fonte/Sistema</t>
  </si>
  <si>
    <t>Tipo</t>
  </si>
  <si>
    <t>Situação</t>
  </si>
  <si>
    <t>Principal uso</t>
  </si>
  <si>
    <t>Dados disponíveis</t>
  </si>
  <si>
    <t>Última atualização</t>
  </si>
  <si>
    <t>Exporta CSV?</t>
  </si>
  <si>
    <t>Integrado hoje?</t>
  </si>
  <si>
    <t>CRM</t>
  </si>
  <si>
    <t>ERP</t>
  </si>
  <si>
    <t>Financeiro/Conta azul/Omie/etc.</t>
  </si>
  <si>
    <t>Planilha comercial</t>
  </si>
  <si>
    <t>Ferramenta de e-mail</t>
  </si>
  <si>
    <t>Ferramenta de automação</t>
  </si>
  <si>
    <t>BI / Dashboard</t>
  </si>
  <si>
    <t>Plataforma do produto</t>
  </si>
  <si>
    <t>Banco de dados</t>
  </si>
  <si>
    <t>Outros</t>
  </si>
  <si>
    <t>Pipeline manual (substitui CRM quando necessário)</t>
  </si>
  <si>
    <t>Preencha uma linha por conta/oportunidade ativa. O sistema usará estas informações caso não exista CRM integrado.</t>
  </si>
  <si>
    <t>Se a empresa tiver CRM ativo, esta aba pode ser opcional. Se não tiver CRM, esta aba é obrigatória.</t>
  </si>
  <si>
    <t>Conta / Cliente</t>
  </si>
  <si>
    <t>Contato principal</t>
  </si>
  <si>
    <t>Segmento/ICP</t>
  </si>
  <si>
    <t>Produto/Oferta</t>
  </si>
  <si>
    <t>Etapa atual</t>
  </si>
  <si>
    <t>Valor estimado (R$)</t>
  </si>
  <si>
    <t>Probabilidade (%)</t>
  </si>
  <si>
    <t>Última interação</t>
  </si>
  <si>
    <t>Próxima ação</t>
  </si>
  <si>
    <t>Data próxima ação</t>
  </si>
  <si>
    <t>Risco principal</t>
  </si>
  <si>
    <t>Campanhas, canais e resultados</t>
  </si>
  <si>
    <t>Use uma linha por campanha, outreach ou ação relevante.</t>
  </si>
  <si>
    <t>Campanha/Ação</t>
  </si>
  <si>
    <t>Canal</t>
  </si>
  <si>
    <t>Período</t>
  </si>
  <si>
    <t>Público</t>
  </si>
  <si>
    <t>Objetivo</t>
  </si>
  <si>
    <t>Entregues/alcance</t>
  </si>
  <si>
    <t>Abertura (%)</t>
  </si>
  <si>
    <t>Cliques (%)</t>
  </si>
  <si>
    <t>Respostas/Reuniões</t>
  </si>
  <si>
    <t>Vendas</t>
  </si>
  <si>
    <t>Unit economics / oferta principal</t>
  </si>
  <si>
    <t>Preencha custos e premissas da oferta principal. As células verdes são calculadas.</t>
  </si>
  <si>
    <t>Categoria</t>
  </si>
  <si>
    <t>Item de custo</t>
  </si>
  <si>
    <t>Descrição</t>
  </si>
  <si>
    <t>Unidade</t>
  </si>
  <si>
    <t>Qtd por projeto</t>
  </si>
  <si>
    <t>Valor unitário (R$)</t>
  </si>
  <si>
    <t>Custo total (R$)</t>
  </si>
  <si>
    <t>Custos diretos</t>
  </si>
  <si>
    <t>Embalagem / acondicionamento</t>
  </si>
  <si>
    <t>por respondente</t>
  </si>
  <si>
    <t>Manuseio / operação</t>
  </si>
  <si>
    <t>por projeto</t>
  </si>
  <si>
    <t>Entrega / logística</t>
  </si>
  <si>
    <t>Brindes / incentivos</t>
  </si>
  <si>
    <t>Ferramentas</t>
  </si>
  <si>
    <t>Pesquisa / formulário</t>
  </si>
  <si>
    <t>mensal rateado</t>
  </si>
  <si>
    <t>Mensageria / e-mail / WhatsApp</t>
  </si>
  <si>
    <t>Horas internas</t>
  </si>
  <si>
    <t>Responsável principal</t>
  </si>
  <si>
    <t>horas</t>
  </si>
  <si>
    <t>Apoio operacional</t>
  </si>
  <si>
    <t>Tecnologia</t>
  </si>
  <si>
    <t>Desenvolvimento / manutenção</t>
  </si>
  <si>
    <t>horas/mês</t>
  </si>
  <si>
    <t>Infraestrutura / hospedagem</t>
  </si>
  <si>
    <t>mensal</t>
  </si>
  <si>
    <t>Aquisição</t>
  </si>
  <si>
    <t>Tráfego / recrutamento pago</t>
  </si>
  <si>
    <t>Premissas do projeto</t>
  </si>
  <si>
    <t>Nº de respondentes planejados</t>
  </si>
  <si>
    <t>Preço cobrado por projeto (R$)</t>
  </si>
  <si>
    <t>Receita líquida estimada (R$)</t>
  </si>
  <si>
    <t>KPIs calculados</t>
  </si>
  <si>
    <t>Custo total do projeto</t>
  </si>
  <si>
    <t>Custo por respondente</t>
  </si>
  <si>
    <t>Margem bruta (R$)</t>
  </si>
  <si>
    <t>Margem bruta (%)</t>
  </si>
  <si>
    <t>Recrutamento e filtros por categoria/projeto</t>
  </si>
  <si>
    <t>Preencha uma linha por categoria/projeto com o funil operacional. Isso ajuda o sistema a gerar benchmarks internos e previsibilidade.</t>
  </si>
  <si>
    <t>Categoria / projeto</t>
  </si>
  <si>
    <t>Cidade / região</t>
  </si>
  <si>
    <t>Critérios de filtro usados</t>
  </si>
  <si>
    <t>Base ativada (#)</t>
  </si>
  <si>
    <t>Responderam filtro (#)</t>
  </si>
  <si>
    <t>Elegíveis (#)</t>
  </si>
  <si>
    <t>Receberam kit (#)</t>
  </si>
  <si>
    <t>Responderam pesquisa final (#)</t>
  </si>
  <si>
    <t>Taxa resposta filtro</t>
  </si>
  <si>
    <t>Taxa elegibilidade</t>
  </si>
  <si>
    <t>Taxa resposta final</t>
  </si>
  <si>
    <t>Base por cidade e viabilidade logística</t>
  </si>
  <si>
    <t>Use esta aba para registrar bases locais, categorias com massa crítica e custos/prazos logísticos.</t>
  </si>
  <si>
    <t>Cidade / polo</t>
  </si>
  <si>
    <t>Tamanho da base</t>
  </si>
  <si>
    <t>Categorias com base suficiente</t>
  </si>
  <si>
    <t>Parceiro logístico / operação</t>
  </si>
  <si>
    <t>Custo estimado por entrega (R$)</t>
  </si>
  <si>
    <t>Prazo / SLA estimado</t>
  </si>
  <si>
    <t>Mapa fiscal e financeiro</t>
  </si>
  <si>
    <t>Registre regime, CNAEs, alíquotas e premissas financeiras que impactam precificação e narrativa do produto.</t>
  </si>
  <si>
    <t>Informação atual</t>
  </si>
  <si>
    <t>Onde buscar / quem confirma</t>
  </si>
  <si>
    <t>Impacto no diagnóstico</t>
  </si>
  <si>
    <t>Link / evidência</t>
  </si>
  <si>
    <t>Data</t>
  </si>
  <si>
    <t>Regime tributário</t>
  </si>
  <si>
    <t>CNAE principal atual</t>
  </si>
  <si>
    <t>CNAEs secundários relevantes</t>
  </si>
  <si>
    <t>Anexo do Simples</t>
  </si>
  <si>
    <t>Alíquota efetiva média</t>
  </si>
  <si>
    <t>Tipo de receita atual</t>
  </si>
  <si>
    <t>Hipótese para tecnologia / assinatura</t>
  </si>
  <si>
    <t>Risco / limitação fiscal</t>
  </si>
  <si>
    <t>Prazo médio real de recebimento</t>
  </si>
  <si>
    <t>Receita por linha de produto</t>
  </si>
  <si>
    <t>Custos fixos mensais</t>
  </si>
  <si>
    <t>Tecnologia, stack, dependências e roadmap</t>
  </si>
  <si>
    <t>Preencha o estado atual dos módulos, custos de terceiros e dependências técnicas.</t>
  </si>
  <si>
    <t>Estado atual</t>
  </si>
  <si>
    <t>Ferramenta / stack</t>
  </si>
  <si>
    <t>Custo mensal estimado</t>
  </si>
  <si>
    <t>Dependências</t>
  </si>
  <si>
    <t>Próximo passo</t>
  </si>
  <si>
    <t>Plataforma principal</t>
  </si>
  <si>
    <t>Dashboard / BI</t>
  </si>
  <si>
    <t>Diagnóstico / formulários</t>
  </si>
  <si>
    <t>Automação / jobs</t>
  </si>
  <si>
    <t>Alertas e relatórios</t>
  </si>
  <si>
    <t>Billing / cobrança</t>
  </si>
  <si>
    <t>IA / embeddings / tokens</t>
  </si>
  <si>
    <t>Social listening</t>
  </si>
  <si>
    <t>SSO / permissões</t>
  </si>
  <si>
    <t>Integrações (CRM/ERP)</t>
  </si>
  <si>
    <t>Observabilidade / logs</t>
  </si>
  <si>
    <t>Governança, RBAC e políticas</t>
  </si>
  <si>
    <t>Use esta aba para mapear donos, papéis e políticas que afetam a execução e a segurança.</t>
  </si>
  <si>
    <t>Dono/Owner</t>
  </si>
  <si>
    <t>Risco se faltar</t>
  </si>
  <si>
    <t>Ritual semanal operacional</t>
  </si>
  <si>
    <t>Ritual executivo mensal</t>
  </si>
  <si>
    <t>Acompanhamento do plano 30/60/90</t>
  </si>
  <si>
    <t>Registro de decisões</t>
  </si>
  <si>
    <t>Papéis e permissões de acesso</t>
  </si>
  <si>
    <t>Política de dados / privacidade</t>
  </si>
  <si>
    <t>Política de segurança / backup</t>
  </si>
  <si>
    <t>Aprovação de propostas / descontos</t>
  </si>
  <si>
    <t>Aprovação de investimentos / compras</t>
  </si>
  <si>
    <t>Rituais, decisões e vínculo com o plano 30/60/90</t>
  </si>
  <si>
    <t>Cada decisão relevante deve virar ação no plano. Use uma linha por decisão/ação.</t>
  </si>
  <si>
    <t>Ritual/Data</t>
  </si>
  <si>
    <t>Decisão tomada</t>
  </si>
  <si>
    <t>Ação vinculada</t>
  </si>
  <si>
    <t>Janela do plano (30/60/90)</t>
  </si>
  <si>
    <t>Prazo</t>
  </si>
  <si>
    <t>Impacto esperado</t>
  </si>
  <si>
    <t>Acessos, arquivos e knowledge base</t>
  </si>
  <si>
    <t>Liste os acessos e documentos que sustentam o contexto da organização.</t>
  </si>
  <si>
    <t>Item</t>
  </si>
  <si>
    <t>Quem libera</t>
  </si>
  <si>
    <t>Formato esperado</t>
  </si>
  <si>
    <t>Status atual do projeto e dos módulos</t>
  </si>
  <si>
    <t>Use para registrar estágio atual, previsões, custos de terceiros e dependências.</t>
  </si>
  <si>
    <t>Módulo / frente</t>
  </si>
  <si>
    <t>Status atual</t>
  </si>
  <si>
    <t>Escopo desta fase</t>
  </si>
  <si>
    <t>Previsão de entrega</t>
  </si>
  <si>
    <t>Riscos / dependências</t>
  </si>
  <si>
    <t>Custo de terceiros mapeado?</t>
  </si>
  <si>
    <t>Integração CRM/ERP</t>
  </si>
  <si>
    <t>Diagnóstico SUPHO</t>
  </si>
  <si>
    <t>Billing</t>
  </si>
  <si>
    <t>Rituais / decisões / PAIP</t>
  </si>
  <si>
    <t>Base de conhecimento / IA</t>
  </si>
  <si>
    <t>Painel de previsões</t>
  </si>
  <si>
    <t>Permissões avançadas / SSO</t>
  </si>
  <si>
    <t>Resumo de completude do Context Pack</t>
  </si>
  <si>
    <t>As fórmulas abaixo ajudam a verificar se o pacote tem informação suficiente para gerar insights confiáveis.</t>
  </si>
  <si>
    <t>Seção</t>
  </si>
  <si>
    <t>Planilha</t>
  </si>
  <si>
    <t>Campos-chave preenchidos</t>
  </si>
  <si>
    <t>Campos esperados</t>
  </si>
  <si>
    <t>% completude</t>
  </si>
  <si>
    <t>Obrigatória sem CRM?</t>
  </si>
  <si>
    <t>Status sugerido</t>
  </si>
  <si>
    <t>02_Identificacao_Contatos</t>
  </si>
  <si>
    <t>15</t>
  </si>
  <si>
    <t>Objetivos e sponsors</t>
  </si>
  <si>
    <t>03_Objetivos_Sponsors</t>
  </si>
  <si>
    <t>8</t>
  </si>
  <si>
    <t>Processo comercial</t>
  </si>
  <si>
    <t>04_Processo_Comercial</t>
  </si>
  <si>
    <t>11</t>
  </si>
  <si>
    <t>Perfil e métricas</t>
  </si>
  <si>
    <t>05_Perfil_Metricas</t>
  </si>
  <si>
    <t>14</t>
  </si>
  <si>
    <t>Config operacional</t>
  </si>
  <si>
    <t>06_Config_Operacional</t>
  </si>
  <si>
    <t>10</t>
  </si>
  <si>
    <t>Integrações e dados</t>
  </si>
  <si>
    <t>07_Integracoes_Dados</t>
  </si>
  <si>
    <t>Pipeline manual</t>
  </si>
  <si>
    <t>08_Pipeline_Manual</t>
  </si>
  <si>
    <t>40</t>
  </si>
  <si>
    <t>Campanhas/canais</t>
  </si>
  <si>
    <t>09_Campanhas_Canais</t>
  </si>
  <si>
    <t>20</t>
  </si>
  <si>
    <t>Unit economics</t>
  </si>
  <si>
    <t>10_UnitEconomics</t>
  </si>
  <si>
    <t>36</t>
  </si>
  <si>
    <t>Recrutamento/filtros</t>
  </si>
  <si>
    <t>11_Recrutamento_Filtros</t>
  </si>
  <si>
    <t>25</t>
  </si>
  <si>
    <t>Base/logística</t>
  </si>
  <si>
    <t>12_Base_Logistica</t>
  </si>
  <si>
    <t>Mapa fiscal</t>
  </si>
  <si>
    <t>13_Mapa_Fiscal_Fin</t>
  </si>
  <si>
    <t>12</t>
  </si>
  <si>
    <t>Tecnologia/roadmap</t>
  </si>
  <si>
    <t>14_Tecnologia_Roadmap</t>
  </si>
  <si>
    <t>Governança/políticas</t>
  </si>
  <si>
    <t>15_Governanca_Politicas</t>
  </si>
  <si>
    <t>9</t>
  </si>
  <si>
    <t>Rituais/PAIP</t>
  </si>
  <si>
    <t>16_Rituais_PAIP</t>
  </si>
  <si>
    <t>30</t>
  </si>
  <si>
    <t>Acessos/arquivos</t>
  </si>
  <si>
    <t>17_Acessos_Arquivos</t>
  </si>
  <si>
    <t>Completude geral</t>
  </si>
  <si>
    <t>Regra sugerida para pilotos: se não houver CRM/ERP, considerar contexto suficiente quando a completude geral for &gt;=80% e todas as seções obrigatórias estiverem em Alta ou Média.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</si>
</sst>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R\$\ #,##0.00"/>
  </numFmts>
  <fonts count="7" x14ac:knownFonts="1">
    <font>
      <sz val="11"/>
      <color theme="1"/>
      <name val="Calibri"/>
      <family val="2"/>
      <scheme val="minor"/>
    </font>
    <font>
      <b/>
      <sz val="12"/>
      <color rgb="FFFFFFFF"/>
      <name val="Calibri"/>
      <family val="2"/>
    </font>
    <font>
      <i/>
      <sz val="9"/>
      <color rgb="FF5B6573"/>
      <name val="Calibri"/>
      <family val="2"/>
    </font>
    <font>
      <b/>
      <sz val="11"/>
      <color rgb="FF000000"/>
      <name val="Calibri"/>
      <family val="2"/>
    </font>
    <font>
      <sz val="10"/>
      <color rgb="FF000000"/>
      <name val="Calibri"/>
      <family val="2"/>
    </font>
    <font>
      <sz val="10"/>
      <color rgb="FF0000FF"/>
      <name val="Calibri"/>
      <family val="2"/>
    </font>
    <font>
      <b/>
      <sz val="11"/>
      <color rgb="FFFFFFFF"/>
      <name val="Calibri"/>
      <family val="2"/>
    </font>
  </fonts>
  <fills count="9">
    <fill>
      <patternFill patternType="none"/>
    </fill>
    <fill>
      <patternFill patternType="gray125"/>
    </fill>
    <fill>
      <patternFill patternType="solid">
        <fgColor rgb="FF353547"/>
      </patternFill>
    </fill>
    <fill>
      <patternFill patternType="solid">
        <fgColor rgb="FFEAF2F8"/>
      </patternFill>
    </fill>
    <fill>
      <patternFill patternType="solid">
        <fgColor rgb="FFE7E6E6"/>
      </patternFill>
    </fill>
    <fill>
      <patternFill patternType="solid">
        <fgColor rgb="FFD9E1F2"/>
      </patternFill>
    </fill>
    <fill>
      <patternFill patternType="solid">
        <fgColor rgb="FFFFF2CC"/>
      </patternFill>
    </fill>
    <fill>
      <patternFill patternType="solid">
        <fgColor rgb="FFE2F0D9"/>
      </patternFill>
    </fill>
    <fill>
      <patternFill patternType="solid">
        <fgColor rgb="FFDB184E"/>
      </patternFill>
    </fill>
  </fills>
  <borders count="4">
    <border>
      <left/>
      <right/>
      <top/>
      <bottom/>
      <diagonal/>
    </border>
    <border>
      <left style="thin">
        <color rgb="FFC9D1D9"/>
      </left>
      <right style="thin">
        <color rgb="FFC9D1D9"/>
      </right>
      <top style="thin">
        <color rgb="FFC9D1D9"/>
      </top>
      <bottom style="thin">
        <color rgb="FFC9D1D9"/>
      </bottom>
      <diagonal/>
    </border>
    <border>
      <left/>
      <right/>
      <top style="thin">
        <color rgb="FFC9D1D9"/>
      </top>
      <bottom style="thin">
        <color rgb="FFC9D1D9"/>
      </bottom>
      <diagonal/>
    </border>
    <border>
      <left/>
      <right style="thin">
        <color rgb="FFC9D1D9"/>
      </right>
      <top style="thin">
        <color rgb="FFC9D1D9"/>
      </top>
      <bottom style="thin">
        <color rgb="FFC9D1D9"/>
      </bottom>
      <diagonal/>
    </border>
  </borders>
  <cellStyleXfs count="1">
    <xf numFmtId="0" fontId="0" fillId="0" borderId="0"/>
  </cellStyleXfs>
  <cellXfs count="18">
    <xf numFmtId="0" fontId="0" fillId="0" borderId="0" xfId="0"/>
    <xf numFmtId="0" fontId="3" fillId="4"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3" fillId="5" borderId="1" xfId="0" applyFont="1" applyFill="1" applyBorder="1" applyAlignment="1">
      <alignment horizontal="center" vertical="center" wrapText="1"/>
    </xf>
    <xf numFmtId="0" fontId="5" fillId="6" borderId="1" xfId="0" applyFont="1" applyFill="1" applyBorder="1" applyAlignment="1">
      <alignment horizontal="left" vertical="top" wrapText="1"/>
    </xf>
    <xf numFmtId="165" fontId="5" fillId="6" borderId="1" xfId="0" applyNumberFormat="1" applyFont="1" applyFill="1" applyBorder="1" applyAlignment="1">
      <alignment horizontal="left" vertical="top" wrapText="1"/>
    </xf>
    <xf numFmtId="165" fontId="4" fillId="7" borderId="1" xfId="0" applyNumberFormat="1" applyFont="1" applyFill="1" applyBorder="1" applyAlignment="1">
      <alignment horizontal="left" vertical="top" wrapText="1"/>
    </xf>
    <xf numFmtId="164" fontId="4" fillId="7" borderId="1" xfId="0" applyNumberFormat="1" applyFont="1" applyFill="1" applyBorder="1" applyAlignment="1">
      <alignment horizontal="left" vertical="top" wrapText="1"/>
    </xf>
    <xf numFmtId="0" fontId="4" fillId="7" borderId="1" xfId="0" applyFont="1" applyFill="1" applyBorder="1" applyAlignment="1">
      <alignment horizontal="left" vertical="top" wrapText="1"/>
    </xf>
    <xf numFmtId="9" fontId="4" fillId="7"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0" fillId="0" borderId="0" xfId="0"/>
    <xf numFmtId="0" fontId="1" fillId="2" borderId="1" xfId="0" applyFont="1" applyFill="1" applyBorder="1" applyAlignment="1">
      <alignment horizontal="left" vertical="top" wrapText="1"/>
    </xf>
    <xf numFmtId="0" fontId="6" fillId="8" borderId="1" xfId="0" applyFont="1" applyFill="1" applyBorder="1" applyAlignment="1">
      <alignment horizontal="left" vertical="top" wrapText="1"/>
    </xf>
    <xf numFmtId="165" fontId="0" fillId="0" borderId="2" xfId="0" applyNumberFormat="1" applyBorder="1"/>
    <xf numFmtId="0" fontId="0" fillId="0" borderId="2" xfId="0" applyBorder="1"/>
    <xf numFmtId="0" fontId="0" fillId="0" borderId="3" xfId="0" applyBorder="1"/>
  </cellXfs>
  <cellStyles count="1">
    <cellStyle name="Normal" xfId="0" builtinId="0"/>
  </cellStyles>
  <dxfs count="3">
    <dxf>
      <fill>
        <patternFill patternType="solid">
          <fgColor rgb="FFE2F0D9"/>
        </patternFill>
      </fill>
    </dxf>
    <dxf>
      <fill>
        <patternFill patternType="solid">
          <fgColor rgb="FFE7A9BC"/>
        </patternFill>
      </fill>
    </dxf>
    <dxf>
      <fill>
        <patternFill patternType="solid">
          <fgColor rgb="FFFCE4D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
  <sheetViews>
    <sheetView tabSelected="1" workbookViewId="0">
      <pane ySplit="3" topLeftCell="A4" activePane="bottomLeft" state="frozen"/>
      <selection pane="bottomLeft" sqref="A1:H1"/>
    </sheetView>
  </sheetViews>
  <sheetFormatPr baseColWidth="10" defaultColWidth="8.83203125" defaultRowHeight="15" x14ac:dyDescent="0.2"/>
  <cols>
    <col min="1" max="1" width="24" customWidth="1"/>
    <col min="2" max="2" width="84" customWidth="1"/>
  </cols>
  <sheetData>
    <row r="1" spans="1:8" ht="24" customHeight="1" x14ac:dyDescent="0.2">
      <c r="A1" s="13" t="s">
        <v>0</v>
      </c>
      <c r="B1" s="12"/>
      <c r="C1" s="12"/>
      <c r="D1" s="12"/>
      <c r="E1" s="12"/>
      <c r="F1" s="12"/>
      <c r="G1" s="12"/>
      <c r="H1" s="12"/>
    </row>
    <row r="2" spans="1:8" ht="34" customHeight="1" x14ac:dyDescent="0.2">
      <c r="A2" s="11" t="s">
        <v>1</v>
      </c>
      <c r="B2" s="12"/>
      <c r="C2" s="12"/>
      <c r="D2" s="12"/>
      <c r="E2" s="12"/>
      <c r="F2" s="12"/>
      <c r="G2" s="12"/>
      <c r="H2" s="12"/>
    </row>
    <row r="4" spans="1:8" ht="45" x14ac:dyDescent="0.2">
      <c r="A4" s="1" t="s">
        <v>2</v>
      </c>
      <c r="B4" s="2" t="s">
        <v>3</v>
      </c>
    </row>
    <row r="5" spans="1:8" ht="30" x14ac:dyDescent="0.2">
      <c r="A5" s="1" t="s">
        <v>4</v>
      </c>
      <c r="B5" s="2" t="s">
        <v>5</v>
      </c>
    </row>
    <row r="6" spans="1:8" ht="30" x14ac:dyDescent="0.2">
      <c r="A6" s="1" t="s">
        <v>6</v>
      </c>
      <c r="B6" s="2" t="s">
        <v>7</v>
      </c>
    </row>
    <row r="7" spans="1:8" ht="16" x14ac:dyDescent="0.2">
      <c r="A7" s="1" t="s">
        <v>8</v>
      </c>
      <c r="B7" s="2" t="s">
        <v>9</v>
      </c>
    </row>
    <row r="8" spans="1:8" ht="32" x14ac:dyDescent="0.2">
      <c r="A8" s="1" t="s">
        <v>10</v>
      </c>
      <c r="B8" s="2" t="s">
        <v>11</v>
      </c>
    </row>
    <row r="10" spans="1:8" ht="30" customHeight="1" x14ac:dyDescent="0.2">
      <c r="A10" s="11" t="s">
        <v>12</v>
      </c>
      <c r="B10" s="12"/>
    </row>
  </sheetData>
  <mergeCells count="3">
    <mergeCell ref="A2:H2"/>
    <mergeCell ref="A10:B10"/>
    <mergeCell ref="A1:H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000-000000000000}">
      <formula1>"Pendente,Em andamento,Concluído,Não se aplica"</formula1>
    </dataValidation>
    <dataValidation type="list" allowBlank="1" sqref="G5 G6 G7 G8 G9 G10 G11 G12 H5 H6 H7 H8 H9 H10 H11 H12 H13 H14 H15" xr:uid="{00000000-0002-0000-0000-000001000000}">
      <formula1>"Baixa,Média,Alta,Crítica"</formula1>
    </dataValidation>
    <dataValidation type="list" allowBlank="1" sqref="F5 F6 F7 F8 F9 F10 F11 F12 F13 H5 H6 H7 H8 H9 H10 H11 H12 H13 H14 I5 I6 I7 I8 I9 I10 I11 I12 I13 I14" xr:uid="{00000000-0002-0000-0000-000002000000}">
      <formula1>"Sim,Não,Parcial,Não sei"</formula1>
    </dataValidation>
    <dataValidation type="list" allowBlank="1" sqref="C5 C6 C7 C8 C9 C10 C11 C12 C13 C14" xr:uid="{00000000-0002-0000-0000-000003000000}">
      <formula1>"Integrado,Parcial,Manual/Planilha,Não possui,Não informado"</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workbookViewId="0">
      <pane ySplit="4" topLeftCell="A5" activePane="bottomLeft" state="frozen"/>
      <selection pane="bottomLeft"/>
    </sheetView>
  </sheetViews>
  <sheetFormatPr baseColWidth="10" defaultColWidth="8.83203125" defaultRowHeight="15" x14ac:dyDescent="0.2"/>
  <cols>
    <col min="1" max="1" width="38" customWidth="1"/>
    <col min="2" max="2" width="28" customWidth="1"/>
    <col min="3" max="4" width="24" customWidth="1"/>
    <col min="5" max="5" width="28" customWidth="1"/>
    <col min="6" max="6" width="12" customWidth="1"/>
    <col min="7" max="8" width="16" customWidth="1"/>
  </cols>
  <sheetData>
    <row r="1" spans="1:8" ht="24" customHeight="1" x14ac:dyDescent="0.2">
      <c r="A1" s="13" t="s">
        <v>13</v>
      </c>
      <c r="B1" s="12"/>
      <c r="C1" s="12"/>
      <c r="D1" s="12"/>
      <c r="E1" s="12"/>
      <c r="F1" s="12"/>
      <c r="G1" s="12"/>
      <c r="H1" s="12"/>
    </row>
    <row r="2" spans="1:8" ht="34" customHeight="1" x14ac:dyDescent="0.2">
      <c r="A2" s="11" t="s">
        <v>14</v>
      </c>
      <c r="B2" s="12"/>
      <c r="C2" s="12"/>
      <c r="D2" s="12"/>
      <c r="E2" s="12"/>
      <c r="F2" s="12"/>
      <c r="G2" s="12"/>
      <c r="H2" s="12"/>
    </row>
    <row r="4" spans="1:8" ht="22" customHeight="1" x14ac:dyDescent="0.2">
      <c r="A4" s="3" t="s">
        <v>15</v>
      </c>
      <c r="B4" s="3" t="s">
        <v>16</v>
      </c>
      <c r="C4" s="3" t="s">
        <v>17</v>
      </c>
      <c r="D4" s="3" t="s">
        <v>18</v>
      </c>
      <c r="E4" s="3" t="s">
        <v>19</v>
      </c>
      <c r="F4" s="3" t="s">
        <v>20</v>
      </c>
      <c r="G4" s="3" t="s">
        <v>21</v>
      </c>
      <c r="H4" s="3" t="s">
        <v>22</v>
      </c>
    </row>
    <row r="5" spans="1:8" x14ac:dyDescent="0.2">
      <c r="A5" t="s">
        <v>23</v>
      </c>
      <c r="B5" s="4"/>
      <c r="C5" s="4"/>
      <c r="D5" s="4"/>
      <c r="E5" s="4"/>
      <c r="F5" t="s">
        <v>24</v>
      </c>
    </row>
    <row r="6" spans="1:8" x14ac:dyDescent="0.2">
      <c r="A6" t="s">
        <v>25</v>
      </c>
      <c r="B6" s="4"/>
      <c r="C6" s="4"/>
      <c r="D6" s="4"/>
      <c r="E6" s="4"/>
      <c r="F6" t="s">
        <v>24</v>
      </c>
    </row>
    <row r="7" spans="1:8" x14ac:dyDescent="0.2">
      <c r="A7" t="s">
        <v>26</v>
      </c>
      <c r="B7" s="4"/>
      <c r="C7" s="4"/>
      <c r="D7" s="4"/>
      <c r="E7" s="4"/>
      <c r="F7" t="s">
        <v>24</v>
      </c>
    </row>
    <row r="8" spans="1:8" x14ac:dyDescent="0.2">
      <c r="A8" t="s">
        <v>27</v>
      </c>
      <c r="B8" s="4"/>
      <c r="C8" s="4"/>
      <c r="D8" s="4"/>
      <c r="E8" s="4"/>
      <c r="F8" t="s">
        <v>28</v>
      </c>
    </row>
    <row r="9" spans="1:8" x14ac:dyDescent="0.2">
      <c r="A9" t="s">
        <v>29</v>
      </c>
      <c r="B9" s="4"/>
      <c r="C9" s="4"/>
      <c r="D9" s="4"/>
      <c r="E9" s="4"/>
      <c r="F9" t="s">
        <v>24</v>
      </c>
    </row>
    <row r="10" spans="1:8" x14ac:dyDescent="0.2">
      <c r="A10" t="s">
        <v>30</v>
      </c>
      <c r="B10" s="4"/>
      <c r="C10" s="4"/>
      <c r="D10" s="4"/>
      <c r="E10" s="4"/>
      <c r="F10" t="s">
        <v>24</v>
      </c>
    </row>
    <row r="11" spans="1:8" x14ac:dyDescent="0.2">
      <c r="A11" t="s">
        <v>31</v>
      </c>
      <c r="B11" s="4"/>
      <c r="C11" s="4"/>
      <c r="D11" s="4"/>
      <c r="E11" s="4"/>
      <c r="F11" t="s">
        <v>24</v>
      </c>
    </row>
    <row r="12" spans="1:8" x14ac:dyDescent="0.2">
      <c r="A12" t="s">
        <v>32</v>
      </c>
      <c r="B12" s="4"/>
      <c r="C12" s="4"/>
      <c r="D12" s="4"/>
      <c r="E12" s="4"/>
      <c r="F12" t="s">
        <v>24</v>
      </c>
    </row>
    <row r="13" spans="1:8" x14ac:dyDescent="0.2">
      <c r="A13" t="s">
        <v>33</v>
      </c>
      <c r="B13" s="4"/>
      <c r="C13" s="4"/>
      <c r="D13" s="4"/>
      <c r="E13" s="4"/>
      <c r="F13" t="s">
        <v>24</v>
      </c>
    </row>
    <row r="14" spans="1:8" x14ac:dyDescent="0.2">
      <c r="A14" t="s">
        <v>34</v>
      </c>
      <c r="B14" s="4"/>
      <c r="C14" s="4"/>
      <c r="D14" s="4"/>
      <c r="E14" s="4"/>
      <c r="F14" t="s">
        <v>24</v>
      </c>
    </row>
    <row r="15" spans="1:8" x14ac:dyDescent="0.2">
      <c r="A15" t="s">
        <v>35</v>
      </c>
      <c r="B15" s="4"/>
      <c r="C15" s="4"/>
      <c r="D15" s="4"/>
      <c r="E15" s="4"/>
      <c r="F15" t="s">
        <v>28</v>
      </c>
    </row>
    <row r="16" spans="1:8" x14ac:dyDescent="0.2">
      <c r="A16" t="s">
        <v>36</v>
      </c>
      <c r="B16" s="4"/>
      <c r="C16" s="4"/>
      <c r="D16" s="4"/>
      <c r="E16" s="4"/>
      <c r="F16" t="s">
        <v>28</v>
      </c>
    </row>
    <row r="17" spans="1:6" x14ac:dyDescent="0.2">
      <c r="A17" t="s">
        <v>37</v>
      </c>
      <c r="B17" s="4"/>
      <c r="C17" s="4"/>
      <c r="D17" s="4"/>
      <c r="E17" s="4"/>
      <c r="F17" t="s">
        <v>28</v>
      </c>
    </row>
    <row r="18" spans="1:6" x14ac:dyDescent="0.2">
      <c r="A18" t="s">
        <v>38</v>
      </c>
      <c r="B18" s="4"/>
      <c r="C18" s="4"/>
      <c r="D18" s="4"/>
      <c r="E18" s="4"/>
      <c r="F18" t="s">
        <v>24</v>
      </c>
    </row>
    <row r="19" spans="1:6" x14ac:dyDescent="0.2">
      <c r="A19" t="s">
        <v>39</v>
      </c>
      <c r="B19" s="4"/>
      <c r="C19" s="4"/>
      <c r="D19" s="4"/>
      <c r="E19" s="4"/>
      <c r="F19" t="s">
        <v>24</v>
      </c>
    </row>
  </sheetData>
  <mergeCells count="2">
    <mergeCell ref="A2:H2"/>
    <mergeCell ref="A1:H1"/>
  </mergeCells>
  <dataValidations count="4">
    <dataValidation type="list" allowBlank="1" sqref="E5:E16 F5:F14 G5:G24 H5:H34" xr:uid="{00000000-0002-0000-0100-000000000000}">
      <formula1>"Pendente,Em andamento,Concluído,Não se aplica"</formula1>
    </dataValidation>
    <dataValidation type="list" allowBlank="1" sqref="G5 G6 G7 G8 G9 G10 G11 G12 H5 H6 H7 H8 H9 H10 H11 H12 H13 H14 H15" xr:uid="{00000000-0002-0000-0100-000002000000}">
      <formula1>"Baixa,Média,Alta,Crítica"</formula1>
    </dataValidation>
    <dataValidation type="list" allowBlank="1" sqref="F5 F6 F7 F8 F9 F10 F11 F12 F13 H5 H6 H7 H8 H9 H10 H11 H12 H13 H14 I5 I6 I7 I8 I9 I10 I11 I12 I13 I14" xr:uid="{00000000-0002-0000-0100-000003000000}">
      <formula1>"Sim,Não,Parcial,Não sei"</formula1>
    </dataValidation>
    <dataValidation type="list" allowBlank="1" sqref="C5 C6 C7 C8 C9 C10 C11 C12 C13 C14" xr:uid="{00000000-0002-0000-0100-000004000000}">
      <formula1>"Integrado,Parcial,Manual/Planilha,Não possui,Não informado"</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
  <sheetViews>
    <sheetView workbookViewId="0">
      <pane ySplit="4" topLeftCell="A5" activePane="bottomLeft" state="frozen"/>
      <selection pane="bottomLeft"/>
    </sheetView>
  </sheetViews>
  <sheetFormatPr baseColWidth="10" defaultColWidth="8.83203125" defaultRowHeight="15" x14ac:dyDescent="0.2"/>
  <cols>
    <col min="1" max="1" width="42" customWidth="1"/>
    <col min="2" max="2" width="34" customWidth="1"/>
    <col min="3" max="6" width="18" customWidth="1"/>
    <col min="7" max="7" width="14" customWidth="1"/>
    <col min="8" max="8" width="28" customWidth="1"/>
  </cols>
  <sheetData>
    <row r="1" spans="1:8" ht="24" customHeight="1" x14ac:dyDescent="0.2">
      <c r="A1" s="13" t="s">
        <v>40</v>
      </c>
      <c r="B1" s="12"/>
      <c r="C1" s="12"/>
      <c r="D1" s="12"/>
      <c r="E1" s="12"/>
      <c r="F1" s="12"/>
      <c r="G1" s="12"/>
      <c r="H1" s="12"/>
    </row>
    <row r="2" spans="1:8" ht="34" customHeight="1" x14ac:dyDescent="0.2">
      <c r="A2" s="11" t="s">
        <v>41</v>
      </c>
      <c r="B2" s="12"/>
      <c r="C2" s="12"/>
      <c r="D2" s="12"/>
      <c r="E2" s="12"/>
      <c r="F2" s="12"/>
      <c r="G2" s="12"/>
      <c r="H2" s="12"/>
    </row>
    <row r="4" spans="1:8" ht="22" customHeight="1" x14ac:dyDescent="0.2">
      <c r="A4" s="3" t="s">
        <v>42</v>
      </c>
      <c r="B4" s="3" t="s">
        <v>43</v>
      </c>
      <c r="C4" s="3" t="s">
        <v>44</v>
      </c>
      <c r="D4" s="3" t="s">
        <v>45</v>
      </c>
      <c r="E4" s="3" t="s">
        <v>46</v>
      </c>
      <c r="F4" s="3" t="s">
        <v>47</v>
      </c>
      <c r="G4" s="3" t="s">
        <v>48</v>
      </c>
      <c r="H4" s="3" t="s">
        <v>19</v>
      </c>
    </row>
    <row r="5" spans="1:8" x14ac:dyDescent="0.2">
      <c r="A5" t="s">
        <v>49</v>
      </c>
      <c r="B5" s="4"/>
      <c r="C5" s="4"/>
      <c r="D5" s="4"/>
      <c r="E5" s="4"/>
      <c r="F5" s="4"/>
      <c r="H5" s="4"/>
    </row>
    <row r="6" spans="1:8" x14ac:dyDescent="0.2">
      <c r="A6" t="s">
        <v>50</v>
      </c>
      <c r="B6" s="4"/>
      <c r="C6" s="4"/>
      <c r="D6" s="4"/>
      <c r="E6" s="4"/>
      <c r="F6" s="4"/>
      <c r="H6" s="4"/>
    </row>
    <row r="7" spans="1:8" x14ac:dyDescent="0.2">
      <c r="A7" t="s">
        <v>51</v>
      </c>
      <c r="B7" s="4"/>
      <c r="C7" s="4"/>
      <c r="D7" s="4"/>
      <c r="E7" s="4"/>
      <c r="F7" s="4"/>
      <c r="H7" s="4"/>
    </row>
    <row r="8" spans="1:8" x14ac:dyDescent="0.2">
      <c r="A8" t="s">
        <v>52</v>
      </c>
      <c r="B8" s="4"/>
      <c r="C8" s="4"/>
      <c r="D8" s="4"/>
      <c r="E8" s="4"/>
      <c r="F8" s="4"/>
      <c r="H8" s="4"/>
    </row>
    <row r="9" spans="1:8" x14ac:dyDescent="0.2">
      <c r="A9" t="s">
        <v>53</v>
      </c>
      <c r="B9" s="4"/>
      <c r="C9" s="4"/>
      <c r="D9" s="4"/>
      <c r="E9" s="4"/>
      <c r="F9" s="4"/>
      <c r="H9" s="4"/>
    </row>
    <row r="10" spans="1:8" x14ac:dyDescent="0.2">
      <c r="A10" t="s">
        <v>54</v>
      </c>
      <c r="B10" s="4"/>
      <c r="C10" s="4"/>
      <c r="D10" s="4"/>
      <c r="E10" s="4"/>
      <c r="F10" s="4"/>
      <c r="H10" s="4"/>
    </row>
    <row r="11" spans="1:8" x14ac:dyDescent="0.2">
      <c r="A11" t="s">
        <v>55</v>
      </c>
      <c r="B11" s="4"/>
      <c r="C11" s="4"/>
      <c r="D11" s="4"/>
      <c r="E11" s="4"/>
      <c r="F11" s="4"/>
      <c r="H11" s="4"/>
    </row>
    <row r="12" spans="1:8" x14ac:dyDescent="0.2">
      <c r="A12" t="s">
        <v>56</v>
      </c>
      <c r="B12" s="4"/>
      <c r="C12" s="4"/>
      <c r="D12" s="4"/>
      <c r="E12" s="4"/>
      <c r="F12" s="4"/>
      <c r="H12" s="4"/>
    </row>
  </sheetData>
  <mergeCells count="2">
    <mergeCell ref="A2:H2"/>
    <mergeCell ref="A1:H1"/>
  </mergeCells>
  <dataValidations count="4">
    <dataValidation type="list" allowBlank="1" sqref="G5:G12 H5:H15" xr:uid="{00000000-0002-0000-0200-000000000000}">
      <formula1>"Baixa,Média,Alta,Crítica"</formula1>
    </dataValidation>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200-000008000000}">
      <formula1>"Pendente,Em andamento,Concluído,Não se aplica"</formula1>
    </dataValidation>
    <dataValidation type="list" allowBlank="1" sqref="F5 F6 F7 F8 F9 F10 F11 F12 F13 H5 H6 H7 H8 H9 H10 H11 H12 H13 H14 I5 I6 I7 I8 I9 I10 I11 I12 I13 I14" xr:uid="{00000000-0002-0000-0200-00000A000000}">
      <formula1>"Sim,Não,Parcial,Não sei"</formula1>
    </dataValidation>
    <dataValidation type="list" allowBlank="1" sqref="C5 C6 C7 C8 C9 C10 C11 C12 C13 C14" xr:uid="{00000000-0002-0000-0200-00000B000000}">
      <formula1>"Integrado,Parcial,Manual/Planilha,Não possui,Não informado"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5"/>
  <sheetViews>
    <sheetView workbookViewId="0">
      <pane ySplit="4" topLeftCell="A5" activePane="bottomLeft" state="frozen"/>
      <selection pane="bottomLeft"/>
    </sheetView>
  </sheetViews>
  <sheetFormatPr baseColWidth="10" defaultColWidth="8.83203125" defaultRowHeight="15" x14ac:dyDescent="0.2"/>
  <cols>
    <col min="1" max="1" width="34" customWidth="1"/>
    <col min="2" max="2" width="28" customWidth="1"/>
    <col min="3" max="3" width="22" customWidth="1"/>
    <col min="4" max="5" width="24" customWidth="1"/>
    <col min="6" max="7" width="14" customWidth="1"/>
    <col min="8" max="8" width="22" customWidth="1"/>
    <col min="9" max="9" width="24" customWidth="1"/>
  </cols>
  <sheetData>
    <row r="1" spans="1:9" ht="24" customHeight="1" x14ac:dyDescent="0.2">
      <c r="A1" s="13" t="s">
        <v>57</v>
      </c>
      <c r="B1" s="12"/>
      <c r="C1" s="12"/>
      <c r="D1" s="12"/>
      <c r="E1" s="12"/>
      <c r="F1" s="12"/>
      <c r="G1" s="12"/>
      <c r="H1" s="12"/>
      <c r="I1" s="12"/>
    </row>
    <row r="2" spans="1:9" ht="34" customHeight="1" x14ac:dyDescent="0.2">
      <c r="A2" s="11" t="s">
        <v>58</v>
      </c>
      <c r="B2" s="12"/>
      <c r="C2" s="12"/>
      <c r="D2" s="12"/>
      <c r="E2" s="12"/>
      <c r="F2" s="12"/>
      <c r="G2" s="12"/>
      <c r="H2" s="12"/>
      <c r="I2" s="12"/>
    </row>
    <row r="4" spans="1:9" ht="22" customHeight="1" x14ac:dyDescent="0.2">
      <c r="A4" s="3" t="s">
        <v>42</v>
      </c>
      <c r="B4" s="3" t="s">
        <v>59</v>
      </c>
      <c r="C4" s="3" t="s">
        <v>60</v>
      </c>
      <c r="D4" s="3" t="s">
        <v>61</v>
      </c>
      <c r="E4" s="3" t="s">
        <v>62</v>
      </c>
      <c r="F4" s="3" t="s">
        <v>63</v>
      </c>
      <c r="G4" s="3" t="s">
        <v>21</v>
      </c>
      <c r="H4" s="3" t="s">
        <v>19</v>
      </c>
      <c r="I4" s="3" t="s">
        <v>64</v>
      </c>
    </row>
    <row r="5" spans="1:9" x14ac:dyDescent="0.2">
      <c r="A5" t="s">
        <v>65</v>
      </c>
      <c r="B5" s="4"/>
      <c r="C5" s="4"/>
      <c r="D5" s="4"/>
      <c r="E5" s="4"/>
      <c r="F5" s="4"/>
      <c r="G5" s="4"/>
      <c r="H5" s="4"/>
      <c r="I5" s="4"/>
    </row>
    <row r="6" spans="1:9" x14ac:dyDescent="0.2">
      <c r="A6" t="s">
        <v>66</v>
      </c>
      <c r="B6" s="4"/>
      <c r="C6" s="4"/>
      <c r="D6" s="4"/>
      <c r="E6" s="4"/>
      <c r="F6" s="4"/>
      <c r="G6" s="4"/>
      <c r="H6" s="4"/>
      <c r="I6" s="4"/>
    </row>
    <row r="7" spans="1:9" x14ac:dyDescent="0.2">
      <c r="A7" t="s">
        <v>67</v>
      </c>
      <c r="B7" s="4"/>
      <c r="C7" s="4"/>
      <c r="D7" s="4"/>
      <c r="E7" s="4"/>
      <c r="F7" s="4"/>
      <c r="G7" s="4"/>
      <c r="H7" s="4"/>
      <c r="I7" s="4"/>
    </row>
    <row r="8" spans="1:9" x14ac:dyDescent="0.2">
      <c r="A8" t="s">
        <v>68</v>
      </c>
      <c r="B8" s="4"/>
      <c r="C8" s="4"/>
      <c r="D8" s="4"/>
      <c r="E8" s="4"/>
      <c r="F8" s="4"/>
      <c r="G8" s="4"/>
      <c r="H8" s="4"/>
      <c r="I8" s="4"/>
    </row>
    <row r="9" spans="1:9" x14ac:dyDescent="0.2">
      <c r="A9" t="s">
        <v>69</v>
      </c>
      <c r="B9" s="4"/>
      <c r="C9" s="4"/>
      <c r="D9" s="4"/>
      <c r="E9" s="4"/>
      <c r="F9" s="4"/>
      <c r="G9" s="4"/>
      <c r="H9" s="4"/>
      <c r="I9" s="4"/>
    </row>
    <row r="10" spans="1:9" x14ac:dyDescent="0.2">
      <c r="A10" t="s">
        <v>70</v>
      </c>
      <c r="B10" s="4"/>
      <c r="C10" s="4"/>
      <c r="D10" s="4"/>
      <c r="E10" s="4"/>
      <c r="F10" s="4"/>
      <c r="G10" s="4"/>
      <c r="H10" s="4"/>
      <c r="I10" s="4"/>
    </row>
    <row r="11" spans="1:9" x14ac:dyDescent="0.2">
      <c r="A11" t="s">
        <v>71</v>
      </c>
      <c r="B11" s="4"/>
      <c r="C11" s="4"/>
      <c r="D11" s="4"/>
      <c r="E11" s="4"/>
      <c r="F11" s="4"/>
      <c r="G11" s="4"/>
      <c r="H11" s="4"/>
      <c r="I11" s="4"/>
    </row>
    <row r="12" spans="1:9" x14ac:dyDescent="0.2">
      <c r="A12" t="s">
        <v>72</v>
      </c>
      <c r="B12" s="4"/>
      <c r="C12" s="4"/>
      <c r="D12" s="4"/>
      <c r="E12" s="4"/>
      <c r="F12" s="4"/>
      <c r="G12" s="4"/>
      <c r="H12" s="4"/>
      <c r="I12" s="4"/>
    </row>
    <row r="13" spans="1:9" x14ac:dyDescent="0.2">
      <c r="A13" t="s">
        <v>73</v>
      </c>
      <c r="B13" s="4"/>
      <c r="C13" s="4"/>
      <c r="D13" s="4"/>
      <c r="E13" s="4"/>
      <c r="F13" s="4"/>
      <c r="G13" s="4"/>
      <c r="H13" s="4"/>
      <c r="I13" s="4"/>
    </row>
    <row r="14" spans="1:9" x14ac:dyDescent="0.2">
      <c r="A14" t="s">
        <v>74</v>
      </c>
      <c r="B14" s="4"/>
      <c r="C14" s="4"/>
      <c r="D14" s="4"/>
      <c r="E14" s="4"/>
      <c r="F14" s="4"/>
      <c r="G14" s="4"/>
      <c r="H14" s="4"/>
      <c r="I14" s="4"/>
    </row>
    <row r="15" spans="1:9" x14ac:dyDescent="0.2">
      <c r="A15" t="s">
        <v>75</v>
      </c>
      <c r="B15" s="4"/>
      <c r="C15" s="4"/>
      <c r="D15" s="4"/>
      <c r="E15" s="4"/>
      <c r="F15" s="4"/>
      <c r="G15" s="4"/>
      <c r="H15" s="4"/>
      <c r="I15" s="4"/>
    </row>
  </sheetData>
  <mergeCells count="2">
    <mergeCell ref="A1:I1"/>
    <mergeCell ref="A2:I2"/>
  </mergeCells>
  <dataValidations count="4">
    <dataValidation type="list" allowBlank="1" sqref="E5:E16 F5:F14 G5:G24 H5:H34" xr:uid="{00000000-0002-0000-0300-000000000000}">
      <formula1>"Pendente,Em andamento,Concluído,Não se aplica"</formula1>
    </dataValidation>
    <dataValidation type="list" allowBlank="1" sqref="G5 G6 G7 G8 G9 G10 G11 G12 H5 H6 H7 H8 H9 H10 H11 H12 H13 H14 H15" xr:uid="{00000000-0002-0000-0300-00000C000000}">
      <formula1>"Baixa,Média,Alta,Crítica"</formula1>
    </dataValidation>
    <dataValidation type="list" allowBlank="1" sqref="F5 F6 F7 F8 F9 F10 F11 F12 F13 H5 H6 H7 H8 H9 H10 H11 H12 H13 H14 I5 I6 I7 I8 I9 I10 I11 I12 I13 I14" xr:uid="{00000000-0002-0000-0300-00000D000000}">
      <formula1>"Sim,Não,Parcial,Não sei"</formula1>
    </dataValidation>
    <dataValidation type="list" allowBlank="1" sqref="C5 C6 C7 C8 C9 C10 C11 C12 C13 C14" xr:uid="{00000000-0002-0000-0300-00000E000000}">
      <formula1>"Integrado,Parcial,Manual/Planilha,Não possui,Não informado"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8"/>
  <sheetViews>
    <sheetView workbookViewId="0">
      <pane ySplit="4" topLeftCell="A5" activePane="bottomLeft" state="frozen"/>
      <selection pane="bottomLeft"/>
    </sheetView>
  </sheetViews>
  <sheetFormatPr baseColWidth="10" defaultColWidth="8.83203125" defaultRowHeight="15" x14ac:dyDescent="0.2"/>
  <cols>
    <col min="1" max="1" width="34" customWidth="1"/>
    <col min="2" max="2" width="16" customWidth="1"/>
    <col min="3" max="3" width="24" customWidth="1"/>
    <col min="4" max="6" width="16" customWidth="1"/>
    <col min="7" max="7" width="18" customWidth="1"/>
    <col min="8" max="8" width="26" customWidth="1"/>
  </cols>
  <sheetData>
    <row r="1" spans="1:8" ht="24" customHeight="1" x14ac:dyDescent="0.2">
      <c r="A1" s="13" t="s">
        <v>76</v>
      </c>
      <c r="B1" s="12"/>
      <c r="C1" s="12"/>
      <c r="D1" s="12"/>
      <c r="E1" s="12"/>
      <c r="F1" s="12"/>
      <c r="G1" s="12"/>
      <c r="H1" s="12"/>
    </row>
    <row r="2" spans="1:8" ht="34" customHeight="1" x14ac:dyDescent="0.2">
      <c r="A2" s="11" t="s">
        <v>77</v>
      </c>
      <c r="B2" s="12"/>
      <c r="C2" s="12"/>
      <c r="D2" s="12"/>
      <c r="E2" s="12"/>
      <c r="F2" s="12"/>
      <c r="G2" s="12"/>
      <c r="H2" s="12"/>
    </row>
    <row r="4" spans="1:8" ht="22" customHeight="1" x14ac:dyDescent="0.2">
      <c r="A4" s="3" t="s">
        <v>78</v>
      </c>
      <c r="B4" s="3" t="s">
        <v>79</v>
      </c>
      <c r="C4" s="3" t="s">
        <v>80</v>
      </c>
      <c r="D4" s="3" t="s">
        <v>81</v>
      </c>
      <c r="E4" s="3" t="s">
        <v>45</v>
      </c>
      <c r="F4" s="3" t="s">
        <v>46</v>
      </c>
      <c r="G4" s="3" t="s">
        <v>47</v>
      </c>
      <c r="H4" s="3" t="s">
        <v>19</v>
      </c>
    </row>
    <row r="5" spans="1:8" x14ac:dyDescent="0.2">
      <c r="A5" t="s">
        <v>82</v>
      </c>
      <c r="B5" s="4"/>
      <c r="C5" s="4"/>
      <c r="D5" s="4"/>
      <c r="E5" s="4"/>
      <c r="F5" s="4"/>
      <c r="G5" s="4"/>
      <c r="H5" s="4"/>
    </row>
    <row r="6" spans="1:8" x14ac:dyDescent="0.2">
      <c r="A6" t="s">
        <v>83</v>
      </c>
      <c r="B6" s="4"/>
      <c r="C6" s="4"/>
      <c r="D6" s="4"/>
      <c r="E6" s="4"/>
      <c r="F6" s="4"/>
      <c r="G6" s="4"/>
      <c r="H6" s="4"/>
    </row>
    <row r="7" spans="1:8" x14ac:dyDescent="0.2">
      <c r="A7" t="s">
        <v>84</v>
      </c>
      <c r="B7" s="4"/>
      <c r="C7" s="4"/>
      <c r="D7" s="4"/>
      <c r="E7" s="4"/>
      <c r="F7" s="4"/>
      <c r="G7" s="4"/>
      <c r="H7" s="4"/>
    </row>
    <row r="8" spans="1:8" x14ac:dyDescent="0.2">
      <c r="A8" t="s">
        <v>85</v>
      </c>
      <c r="B8" s="4"/>
      <c r="C8" s="4"/>
      <c r="D8" s="4"/>
      <c r="E8" s="4"/>
      <c r="F8" s="4"/>
      <c r="G8" s="4"/>
      <c r="H8" s="4"/>
    </row>
    <row r="9" spans="1:8" x14ac:dyDescent="0.2">
      <c r="A9" t="s">
        <v>86</v>
      </c>
      <c r="B9" s="4"/>
      <c r="C9" s="4"/>
      <c r="D9" s="4"/>
      <c r="E9" s="4"/>
      <c r="F9" s="4"/>
      <c r="G9" s="4"/>
      <c r="H9" s="4"/>
    </row>
    <row r="10" spans="1:8" x14ac:dyDescent="0.2">
      <c r="A10" t="s">
        <v>87</v>
      </c>
      <c r="B10" s="4"/>
      <c r="C10" s="4"/>
      <c r="D10" s="4"/>
      <c r="E10" s="4"/>
      <c r="F10" s="4"/>
      <c r="G10" s="4"/>
      <c r="H10" s="4"/>
    </row>
    <row r="11" spans="1:8" x14ac:dyDescent="0.2">
      <c r="A11" t="s">
        <v>88</v>
      </c>
      <c r="B11" s="4"/>
      <c r="C11" s="4"/>
      <c r="D11" s="4"/>
      <c r="E11" s="4"/>
      <c r="F11" s="4"/>
      <c r="G11" s="4"/>
      <c r="H11" s="4"/>
    </row>
    <row r="12" spans="1:8" x14ac:dyDescent="0.2">
      <c r="A12" t="s">
        <v>89</v>
      </c>
      <c r="B12" s="4"/>
      <c r="C12" s="4"/>
      <c r="D12" s="4"/>
      <c r="E12" s="4"/>
      <c r="F12" s="4"/>
      <c r="G12" s="4"/>
      <c r="H12" s="4"/>
    </row>
    <row r="13" spans="1:8" x14ac:dyDescent="0.2">
      <c r="A13" t="s">
        <v>90</v>
      </c>
      <c r="B13" s="4"/>
      <c r="C13" s="4"/>
      <c r="D13" s="4"/>
      <c r="E13" s="4"/>
      <c r="F13" s="4"/>
      <c r="G13" s="4"/>
      <c r="H13" s="4"/>
    </row>
    <row r="14" spans="1:8" x14ac:dyDescent="0.2">
      <c r="A14" t="s">
        <v>91</v>
      </c>
      <c r="B14" s="4"/>
      <c r="C14" s="4"/>
      <c r="D14" s="4"/>
      <c r="E14" s="4"/>
      <c r="F14" s="4"/>
      <c r="G14" s="4"/>
      <c r="H14" s="4"/>
    </row>
    <row r="15" spans="1:8" x14ac:dyDescent="0.2">
      <c r="A15" t="s">
        <v>92</v>
      </c>
      <c r="B15" s="4"/>
      <c r="C15" s="4"/>
      <c r="D15" s="4"/>
      <c r="E15" s="4"/>
      <c r="F15" s="4"/>
      <c r="G15" s="4"/>
      <c r="H15" s="4"/>
    </row>
    <row r="16" spans="1:8" x14ac:dyDescent="0.2">
      <c r="A16" t="s">
        <v>93</v>
      </c>
      <c r="B16" s="4"/>
      <c r="C16" s="4"/>
      <c r="D16" s="4"/>
      <c r="E16" s="4"/>
      <c r="F16" s="4"/>
      <c r="G16" s="4"/>
      <c r="H16" s="4"/>
    </row>
    <row r="17" spans="1:8" x14ac:dyDescent="0.2">
      <c r="A17" t="s">
        <v>94</v>
      </c>
      <c r="B17" s="4"/>
      <c r="C17" s="4"/>
      <c r="D17" s="4"/>
      <c r="E17" s="4"/>
      <c r="F17" s="4"/>
      <c r="G17" s="4"/>
      <c r="H17" s="4"/>
    </row>
    <row r="18" spans="1:8" x14ac:dyDescent="0.2">
      <c r="A18" t="s">
        <v>95</v>
      </c>
      <c r="B18" s="4"/>
      <c r="C18" s="4"/>
      <c r="D18" s="4"/>
      <c r="E18" s="4"/>
      <c r="F18" s="4"/>
      <c r="G18" s="4"/>
      <c r="H18" s="4"/>
    </row>
  </sheetData>
  <mergeCells count="2">
    <mergeCell ref="A2:H2"/>
    <mergeCell ref="A1:H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400-000000000000}">
      <formula1>"Pendente,Em andamento,Concluído,Não se aplica"</formula1>
    </dataValidation>
    <dataValidation type="list" allowBlank="1" sqref="G5 G6 G7 G8 G9 G10 G11 G12 H5 H6 H7 H8 H9 H10 H11 H12 H13 H14 H15" xr:uid="{00000000-0002-0000-0400-000001000000}">
      <formula1>"Baixa,Média,Alta,Crítica"</formula1>
    </dataValidation>
    <dataValidation type="list" allowBlank="1" sqref="F5 F6 F7 F8 F9 F10 F11 F12 F13 H5 H6 H7 H8 H9 H10 H11 H12 H13 H14 I5 I6 I7 I8 I9 I10 I11 I12 I13 I14" xr:uid="{00000000-0002-0000-0400-000002000000}">
      <formula1>"Sim,Não,Parcial,Não sei"</formula1>
    </dataValidation>
    <dataValidation type="list" allowBlank="1" sqref="C5 C6 C7 C8 C9 C10 C11 C12 C13 C14" xr:uid="{00000000-0002-0000-0400-000003000000}">
      <formula1>"Integrado,Parcial,Manual/Planilha,Não possui,Não informado"</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4"/>
  <sheetViews>
    <sheetView workbookViewId="0">
      <pane ySplit="4" topLeftCell="A5" activePane="bottomLeft" state="frozen"/>
      <selection pane="bottomLeft"/>
    </sheetView>
  </sheetViews>
  <sheetFormatPr baseColWidth="10" defaultColWidth="8.83203125" defaultRowHeight="15" x14ac:dyDescent="0.2"/>
  <cols>
    <col min="1" max="1" width="34" customWidth="1"/>
    <col min="2" max="2" width="22" customWidth="1"/>
    <col min="3" max="5" width="18" customWidth="1"/>
    <col min="6" max="6" width="14" customWidth="1"/>
    <col min="7" max="7" width="26" customWidth="1"/>
    <col min="8" max="8" width="24" customWidth="1"/>
  </cols>
  <sheetData>
    <row r="1" spans="1:8" ht="24" customHeight="1" x14ac:dyDescent="0.2">
      <c r="A1" s="13" t="s">
        <v>96</v>
      </c>
      <c r="B1" s="12"/>
      <c r="C1" s="12"/>
      <c r="D1" s="12"/>
      <c r="E1" s="12"/>
      <c r="F1" s="12"/>
      <c r="G1" s="12"/>
      <c r="H1" s="12"/>
    </row>
    <row r="2" spans="1:8" ht="34" customHeight="1" x14ac:dyDescent="0.2">
      <c r="A2" s="11" t="s">
        <v>97</v>
      </c>
      <c r="B2" s="12"/>
      <c r="C2" s="12"/>
      <c r="D2" s="12"/>
      <c r="E2" s="12"/>
      <c r="F2" s="12"/>
      <c r="G2" s="12"/>
      <c r="H2" s="12"/>
    </row>
    <row r="4" spans="1:8" ht="22" customHeight="1" x14ac:dyDescent="0.2">
      <c r="A4" s="3" t="s">
        <v>42</v>
      </c>
      <c r="B4" s="3" t="s">
        <v>98</v>
      </c>
      <c r="C4" s="3" t="s">
        <v>99</v>
      </c>
      <c r="D4" s="3" t="s">
        <v>100</v>
      </c>
      <c r="E4" s="3" t="s">
        <v>47</v>
      </c>
      <c r="F4" s="3" t="s">
        <v>21</v>
      </c>
      <c r="G4" s="3" t="s">
        <v>19</v>
      </c>
      <c r="H4" s="3" t="s">
        <v>64</v>
      </c>
    </row>
    <row r="5" spans="1:8" x14ac:dyDescent="0.2">
      <c r="A5" t="s">
        <v>101</v>
      </c>
      <c r="B5" s="4"/>
      <c r="C5" s="4"/>
      <c r="D5" s="4"/>
      <c r="E5" s="4"/>
      <c r="G5" s="4"/>
      <c r="H5" s="4"/>
    </row>
    <row r="6" spans="1:8" x14ac:dyDescent="0.2">
      <c r="A6" t="s">
        <v>102</v>
      </c>
      <c r="B6" s="4"/>
      <c r="C6" s="4"/>
      <c r="D6" s="4"/>
      <c r="E6" s="4"/>
      <c r="G6" s="4"/>
      <c r="H6" s="4"/>
    </row>
    <row r="7" spans="1:8" x14ac:dyDescent="0.2">
      <c r="A7" t="s">
        <v>103</v>
      </c>
      <c r="B7" s="4"/>
      <c r="C7" s="4"/>
      <c r="D7" s="4"/>
      <c r="E7" s="4"/>
      <c r="G7" s="4"/>
      <c r="H7" s="4"/>
    </row>
    <row r="8" spans="1:8" x14ac:dyDescent="0.2">
      <c r="A8" t="s">
        <v>104</v>
      </c>
      <c r="B8" s="4"/>
      <c r="C8" s="4"/>
      <c r="D8" s="4"/>
      <c r="E8" s="4"/>
      <c r="G8" s="4"/>
      <c r="H8" s="4"/>
    </row>
    <row r="9" spans="1:8" x14ac:dyDescent="0.2">
      <c r="A9" t="s">
        <v>105</v>
      </c>
      <c r="B9" s="4"/>
      <c r="C9" s="4"/>
      <c r="D9" s="4"/>
      <c r="E9" s="4"/>
      <c r="G9" s="4"/>
      <c r="H9" s="4"/>
    </row>
    <row r="10" spans="1:8" x14ac:dyDescent="0.2">
      <c r="A10" t="s">
        <v>106</v>
      </c>
      <c r="B10" s="4"/>
      <c r="C10" s="4"/>
      <c r="D10" s="4"/>
      <c r="E10" s="4"/>
      <c r="G10" s="4"/>
      <c r="H10" s="4"/>
    </row>
    <row r="11" spans="1:8" x14ac:dyDescent="0.2">
      <c r="A11" t="s">
        <v>107</v>
      </c>
      <c r="B11" s="4"/>
      <c r="C11" s="4"/>
      <c r="D11" s="4"/>
      <c r="E11" s="4"/>
      <c r="G11" s="4"/>
      <c r="H11" s="4"/>
    </row>
    <row r="12" spans="1:8" x14ac:dyDescent="0.2">
      <c r="A12" t="s">
        <v>108</v>
      </c>
      <c r="B12" s="4"/>
      <c r="C12" s="4"/>
      <c r="D12" s="4"/>
      <c r="E12" s="4"/>
      <c r="G12" s="4"/>
      <c r="H12" s="4"/>
    </row>
    <row r="13" spans="1:8" x14ac:dyDescent="0.2">
      <c r="A13" t="s">
        <v>109</v>
      </c>
      <c r="B13" s="4"/>
      <c r="C13" s="4"/>
      <c r="D13" s="4"/>
      <c r="E13" s="4"/>
      <c r="G13" s="4"/>
      <c r="H13" s="4"/>
    </row>
    <row r="14" spans="1:8" x14ac:dyDescent="0.2">
      <c r="A14" t="s">
        <v>110</v>
      </c>
      <c r="B14" s="4"/>
      <c r="C14" s="4"/>
      <c r="D14" s="4"/>
      <c r="E14" s="4"/>
      <c r="G14" s="4"/>
      <c r="H14" s="4"/>
    </row>
  </sheetData>
  <mergeCells count="2">
    <mergeCell ref="A2:H2"/>
    <mergeCell ref="A1:H1"/>
  </mergeCells>
  <dataValidations count="4">
    <dataValidation type="list" allowBlank="1" sqref="E5:E16 F5:F14 G5:G24 H5:H34" xr:uid="{00000000-0002-0000-0500-000000000000}">
      <formula1>"Pendente,Em andamento,Concluído,Não se aplica"</formula1>
    </dataValidation>
    <dataValidation type="list" allowBlank="1" sqref="G5 G6 G7 G8 G9 G10 G11 G12 H5 H6 H7 H8 H9 H10 H11 H12 H13 H14 H15" xr:uid="{00000000-0002-0000-0500-00000B000000}">
      <formula1>"Baixa,Média,Alta,Crítica"</formula1>
    </dataValidation>
    <dataValidation type="list" allowBlank="1" sqref="F5 F6 F7 F8 F9 F10 F11 F12 F13 H5 H6 H7 H8 H9 H10 H11 H12 H13 H14 I5 I6 I7 I8 I9 I10 I11 I12 I13 I14" xr:uid="{00000000-0002-0000-0500-00000C000000}">
      <formula1>"Sim,Não,Parcial,Não sei"</formula1>
    </dataValidation>
    <dataValidation type="list" allowBlank="1" sqref="C5 C6 C7 C8 C9 C10 C11 C12 C13 C14" xr:uid="{00000000-0002-0000-0500-00000D000000}">
      <formula1>"Integrado,Parcial,Manual/Planilha,Não possui,Não informado"</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4"/>
  <sheetViews>
    <sheetView workbookViewId="0">
      <pane ySplit="4" topLeftCell="A5" activePane="bottomLeft" state="frozen"/>
      <selection pane="bottomLeft"/>
    </sheetView>
  </sheetViews>
  <sheetFormatPr baseColWidth="10" defaultColWidth="8.83203125" defaultRowHeight="15" x14ac:dyDescent="0.2"/>
  <cols>
    <col min="1" max="1" width="24" customWidth="1"/>
    <col min="2" max="2" width="22" customWidth="1"/>
    <col min="3" max="3" width="16" customWidth="1"/>
    <col min="4" max="4" width="24" customWidth="1"/>
    <col min="5" max="5" width="28" customWidth="1"/>
    <col min="6" max="6" width="18" customWidth="1"/>
    <col min="7" max="7" width="16" customWidth="1"/>
    <col min="8" max="8" width="12" customWidth="1"/>
    <col min="9" max="9" width="14" customWidth="1"/>
    <col min="10" max="10" width="24" customWidth="1"/>
  </cols>
  <sheetData>
    <row r="1" spans="1:10" ht="24" customHeight="1" x14ac:dyDescent="0.2">
      <c r="A1" s="13" t="s">
        <v>111</v>
      </c>
      <c r="B1" s="12"/>
      <c r="C1" s="12"/>
      <c r="D1" s="12"/>
      <c r="E1" s="12"/>
      <c r="F1" s="12"/>
      <c r="G1" s="12"/>
      <c r="H1" s="12"/>
      <c r="I1" s="12"/>
      <c r="J1" s="12"/>
    </row>
    <row r="2" spans="1:10" ht="34" customHeight="1" x14ac:dyDescent="0.2">
      <c r="A2" s="11" t="s">
        <v>112</v>
      </c>
      <c r="B2" s="12"/>
      <c r="C2" s="12"/>
      <c r="D2" s="12"/>
      <c r="E2" s="12"/>
      <c r="F2" s="12"/>
      <c r="G2" s="12"/>
      <c r="H2" s="12"/>
      <c r="I2" s="12"/>
      <c r="J2" s="12"/>
    </row>
    <row r="4" spans="1:10" ht="22" customHeight="1" x14ac:dyDescent="0.2">
      <c r="A4" s="3" t="s">
        <v>113</v>
      </c>
      <c r="B4" s="3" t="s">
        <v>114</v>
      </c>
      <c r="C4" s="3" t="s">
        <v>115</v>
      </c>
      <c r="D4" s="3" t="s">
        <v>116</v>
      </c>
      <c r="E4" s="3" t="s">
        <v>117</v>
      </c>
      <c r="F4" s="3" t="s">
        <v>118</v>
      </c>
      <c r="G4" s="3" t="s">
        <v>63</v>
      </c>
      <c r="H4" s="3" t="s">
        <v>119</v>
      </c>
      <c r="I4" s="3" t="s">
        <v>120</v>
      </c>
      <c r="J4" s="3" t="s">
        <v>19</v>
      </c>
    </row>
    <row r="5" spans="1:10" x14ac:dyDescent="0.2">
      <c r="A5" t="s">
        <v>121</v>
      </c>
      <c r="B5" s="4"/>
      <c r="C5" s="4"/>
      <c r="D5" s="4"/>
      <c r="E5" s="4"/>
      <c r="F5" s="4"/>
      <c r="G5" s="4"/>
      <c r="J5" s="4"/>
    </row>
    <row r="6" spans="1:10" x14ac:dyDescent="0.2">
      <c r="A6" t="s">
        <v>122</v>
      </c>
      <c r="B6" s="4"/>
      <c r="C6" s="4"/>
      <c r="D6" s="4"/>
      <c r="E6" s="4"/>
      <c r="F6" s="4"/>
      <c r="G6" s="4"/>
      <c r="J6" s="4"/>
    </row>
    <row r="7" spans="1:10" x14ac:dyDescent="0.2">
      <c r="A7" t="s">
        <v>123</v>
      </c>
      <c r="B7" s="4"/>
      <c r="C7" s="4"/>
      <c r="D7" s="4"/>
      <c r="E7" s="4"/>
      <c r="F7" s="4"/>
      <c r="G7" s="4"/>
      <c r="J7" s="4"/>
    </row>
    <row r="8" spans="1:10" x14ac:dyDescent="0.2">
      <c r="A8" t="s">
        <v>124</v>
      </c>
      <c r="B8" s="4"/>
      <c r="C8" s="4"/>
      <c r="D8" s="4"/>
      <c r="E8" s="4"/>
      <c r="F8" s="4"/>
      <c r="G8" s="4"/>
      <c r="J8" s="4"/>
    </row>
    <row r="9" spans="1:10" x14ac:dyDescent="0.2">
      <c r="A9" t="s">
        <v>125</v>
      </c>
      <c r="B9" s="4"/>
      <c r="C9" s="4"/>
      <c r="D9" s="4"/>
      <c r="E9" s="4"/>
      <c r="F9" s="4"/>
      <c r="G9" s="4"/>
      <c r="J9" s="4"/>
    </row>
    <row r="10" spans="1:10" x14ac:dyDescent="0.2">
      <c r="A10" t="s">
        <v>126</v>
      </c>
      <c r="B10" s="4"/>
      <c r="C10" s="4"/>
      <c r="D10" s="4"/>
      <c r="E10" s="4"/>
      <c r="F10" s="4"/>
      <c r="G10" s="4"/>
      <c r="J10" s="4"/>
    </row>
    <row r="11" spans="1:10" x14ac:dyDescent="0.2">
      <c r="A11" t="s">
        <v>127</v>
      </c>
      <c r="B11" s="4"/>
      <c r="C11" s="4"/>
      <c r="D11" s="4"/>
      <c r="E11" s="4"/>
      <c r="F11" s="4"/>
      <c r="G11" s="4"/>
      <c r="J11" s="4"/>
    </row>
    <row r="12" spans="1:10" x14ac:dyDescent="0.2">
      <c r="A12" t="s">
        <v>128</v>
      </c>
      <c r="B12" s="4"/>
      <c r="C12" s="4"/>
      <c r="D12" s="4"/>
      <c r="E12" s="4"/>
      <c r="F12" s="4"/>
      <c r="G12" s="4"/>
      <c r="J12" s="4"/>
    </row>
    <row r="13" spans="1:10" x14ac:dyDescent="0.2">
      <c r="A13" t="s">
        <v>129</v>
      </c>
      <c r="B13" s="4"/>
      <c r="C13" s="4"/>
      <c r="D13" s="4"/>
      <c r="E13" s="4"/>
      <c r="F13" s="4"/>
      <c r="G13" s="4"/>
      <c r="J13" s="4"/>
    </row>
    <row r="14" spans="1:10" x14ac:dyDescent="0.2">
      <c r="A14" t="s">
        <v>130</v>
      </c>
      <c r="B14" s="4"/>
      <c r="C14" s="4"/>
      <c r="D14" s="4"/>
      <c r="E14" s="4"/>
      <c r="F14" s="4"/>
      <c r="G14" s="4"/>
      <c r="J14" s="4"/>
    </row>
  </sheetData>
  <mergeCells count="2">
    <mergeCell ref="A1:J1"/>
    <mergeCell ref="A2:J2"/>
  </mergeCells>
  <dataValidations count="4">
    <dataValidation type="list" allowBlank="1" sqref="C5:C14" xr:uid="{00000000-0002-0000-0600-000000000000}">
      <formula1>"Integrado,Parcial,Manual/Planilha,Não possui,Não informado"</formula1>
    </dataValidation>
    <dataValidation type="list" allowBlank="1" sqref="F5:F13 H5:I14" xr:uid="{00000000-0002-0000-0600-000001000000}">
      <formula1>"Sim,Não,Parcial,Não sei"</formula1>
    </dataValidation>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600-00001E000000}">
      <formula1>"Pendente,Em andamento,Concluído,Não se aplica"</formula1>
    </dataValidation>
    <dataValidation type="list" allowBlank="1" sqref="G5 G6 G7 G8 G9 G10 G11 G12 H5 H6 H7 H8 H9 H10 H11 H12 H13 H14 H15" xr:uid="{00000000-0002-0000-0600-00001F000000}">
      <formula1>"Baixa,Média,Alta,Crítica"</formula1>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44"/>
  <sheetViews>
    <sheetView workbookViewId="0">
      <pane ySplit="4" topLeftCell="A5" activePane="bottomLeft" state="frozen"/>
      <selection pane="bottomLeft"/>
    </sheetView>
  </sheetViews>
  <sheetFormatPr baseColWidth="10" defaultColWidth="8.83203125" defaultRowHeight="15" x14ac:dyDescent="0.2"/>
  <cols>
    <col min="1" max="1" width="28" customWidth="1"/>
    <col min="2" max="2" width="20" customWidth="1"/>
    <col min="3" max="3" width="16" customWidth="1"/>
    <col min="4" max="5" width="18" customWidth="1"/>
    <col min="6" max="8" width="16" customWidth="1"/>
    <col min="9" max="9" width="24" customWidth="1"/>
    <col min="10" max="10" width="16" customWidth="1"/>
    <col min="11" max="11" width="22" customWidth="1"/>
    <col min="12" max="12" width="16" customWidth="1"/>
  </cols>
  <sheetData>
    <row r="1" spans="1:12" ht="24" customHeight="1" x14ac:dyDescent="0.2">
      <c r="A1" s="13" t="s">
        <v>131</v>
      </c>
      <c r="B1" s="12"/>
      <c r="C1" s="12"/>
      <c r="D1" s="12"/>
      <c r="E1" s="12"/>
      <c r="F1" s="12"/>
      <c r="G1" s="12"/>
      <c r="H1" s="12"/>
      <c r="I1" s="12"/>
      <c r="J1" s="12"/>
      <c r="K1" s="12"/>
      <c r="L1" s="12"/>
    </row>
    <row r="2" spans="1:12" ht="34" customHeight="1" x14ac:dyDescent="0.2">
      <c r="A2" s="11" t="s">
        <v>132</v>
      </c>
      <c r="B2" s="12"/>
      <c r="C2" s="12"/>
      <c r="D2" s="12"/>
      <c r="E2" s="12"/>
      <c r="F2" s="12"/>
      <c r="G2" s="12"/>
      <c r="H2" s="12"/>
      <c r="I2" s="12"/>
      <c r="J2" s="12"/>
      <c r="K2" s="12"/>
      <c r="L2" s="12"/>
    </row>
    <row r="3" spans="1:12" ht="30" customHeight="1" x14ac:dyDescent="0.2">
      <c r="A3" s="11" t="s">
        <v>133</v>
      </c>
      <c r="B3" s="12"/>
      <c r="C3" s="12"/>
      <c r="D3" s="12"/>
      <c r="E3" s="12"/>
      <c r="F3" s="12"/>
      <c r="G3" s="12"/>
      <c r="H3" s="12"/>
      <c r="I3" s="12"/>
      <c r="J3" s="12"/>
      <c r="K3" s="12"/>
      <c r="L3" s="12"/>
    </row>
    <row r="4" spans="1:12" ht="22" customHeight="1" x14ac:dyDescent="0.2">
      <c r="A4" s="3" t="s">
        <v>134</v>
      </c>
      <c r="B4" s="3" t="s">
        <v>135</v>
      </c>
      <c r="C4" s="3" t="s">
        <v>136</v>
      </c>
      <c r="D4" s="3" t="s">
        <v>137</v>
      </c>
      <c r="E4" s="3" t="s">
        <v>138</v>
      </c>
      <c r="F4" s="3" t="s">
        <v>139</v>
      </c>
      <c r="G4" s="3" t="s">
        <v>140</v>
      </c>
      <c r="H4" s="3" t="s">
        <v>141</v>
      </c>
      <c r="I4" s="3" t="s">
        <v>142</v>
      </c>
      <c r="J4" s="3" t="s">
        <v>143</v>
      </c>
      <c r="K4" s="3" t="s">
        <v>144</v>
      </c>
      <c r="L4" s="3" t="s">
        <v>63</v>
      </c>
    </row>
    <row r="5" spans="1:12" x14ac:dyDescent="0.2">
      <c r="A5" s="4"/>
      <c r="B5" s="4"/>
      <c r="C5" s="4"/>
      <c r="D5" s="4"/>
      <c r="E5" s="4"/>
      <c r="F5" s="4"/>
      <c r="G5" s="4"/>
      <c r="H5" s="4"/>
      <c r="I5" s="4"/>
      <c r="J5" s="4"/>
      <c r="K5" s="4"/>
      <c r="L5" s="4"/>
    </row>
    <row r="6" spans="1:12" x14ac:dyDescent="0.2">
      <c r="A6" s="4"/>
      <c r="B6" s="4"/>
      <c r="C6" s="4"/>
      <c r="D6" s="4"/>
      <c r="E6" s="4"/>
      <c r="F6" s="4"/>
      <c r="G6" s="4"/>
      <c r="H6" s="4"/>
      <c r="I6" s="4"/>
      <c r="J6" s="4"/>
      <c r="K6" s="4"/>
      <c r="L6" s="4"/>
    </row>
    <row r="7" spans="1:12" x14ac:dyDescent="0.2">
      <c r="A7" s="4"/>
      <c r="B7" s="4"/>
      <c r="C7" s="4"/>
      <c r="D7" s="4"/>
      <c r="E7" s="4"/>
      <c r="F7" s="4"/>
      <c r="G7" s="4"/>
      <c r="H7" s="4"/>
      <c r="I7" s="4"/>
      <c r="J7" s="4"/>
      <c r="K7" s="4"/>
      <c r="L7" s="4"/>
    </row>
    <row r="8" spans="1:12" x14ac:dyDescent="0.2">
      <c r="A8" s="4"/>
      <c r="B8" s="4"/>
      <c r="C8" s="4"/>
      <c r="D8" s="4"/>
      <c r="E8" s="4"/>
      <c r="F8" s="4"/>
      <c r="G8" s="4"/>
      <c r="H8" s="4"/>
      <c r="I8" s="4"/>
      <c r="J8" s="4"/>
      <c r="K8" s="4"/>
      <c r="L8" s="4"/>
    </row>
    <row r="9" spans="1:12" x14ac:dyDescent="0.2">
      <c r="A9" s="4"/>
      <c r="B9" s="4"/>
      <c r="C9" s="4"/>
      <c r="D9" s="4"/>
      <c r="E9" s="4"/>
      <c r="F9" s="4"/>
      <c r="G9" s="4"/>
      <c r="H9" s="4"/>
      <c r="I9" s="4"/>
      <c r="J9" s="4"/>
      <c r="K9" s="4"/>
      <c r="L9" s="4"/>
    </row>
    <row r="10" spans="1:12" x14ac:dyDescent="0.2">
      <c r="A10" s="4"/>
      <c r="B10" s="4"/>
      <c r="C10" s="4"/>
      <c r="D10" s="4"/>
      <c r="E10" s="4"/>
      <c r="F10" s="4"/>
      <c r="G10" s="4"/>
      <c r="H10" s="4"/>
      <c r="I10" s="4"/>
      <c r="J10" s="4"/>
      <c r="K10" s="4"/>
      <c r="L10" s="4"/>
    </row>
    <row r="11" spans="1:12" x14ac:dyDescent="0.2">
      <c r="A11" s="4"/>
      <c r="B11" s="4"/>
      <c r="C11" s="4"/>
      <c r="D11" s="4"/>
      <c r="E11" s="4"/>
      <c r="F11" s="4"/>
      <c r="G11" s="4"/>
      <c r="H11" s="4"/>
      <c r="I11" s="4"/>
      <c r="J11" s="4"/>
      <c r="K11" s="4"/>
      <c r="L11" s="4"/>
    </row>
    <row r="12" spans="1:12" x14ac:dyDescent="0.2">
      <c r="A12" s="4"/>
      <c r="B12" s="4"/>
      <c r="C12" s="4"/>
      <c r="D12" s="4"/>
      <c r="E12" s="4"/>
      <c r="F12" s="4"/>
      <c r="G12" s="4"/>
      <c r="H12" s="4"/>
      <c r="I12" s="4"/>
      <c r="J12" s="4"/>
      <c r="K12" s="4"/>
      <c r="L12" s="4"/>
    </row>
    <row r="13" spans="1:12" x14ac:dyDescent="0.2">
      <c r="A13" s="4"/>
      <c r="B13" s="4"/>
      <c r="C13" s="4"/>
      <c r="D13" s="4"/>
      <c r="E13" s="4"/>
      <c r="F13" s="4"/>
      <c r="G13" s="4"/>
      <c r="H13" s="4"/>
      <c r="I13" s="4"/>
      <c r="J13" s="4"/>
      <c r="K13" s="4"/>
      <c r="L13" s="4"/>
    </row>
    <row r="14" spans="1:12" x14ac:dyDescent="0.2">
      <c r="A14" s="4"/>
      <c r="B14" s="4"/>
      <c r="C14" s="4"/>
      <c r="D14" s="4"/>
      <c r="E14" s="4"/>
      <c r="F14" s="4"/>
      <c r="G14" s="4"/>
      <c r="H14" s="4"/>
      <c r="I14" s="4"/>
      <c r="J14" s="4"/>
      <c r="K14" s="4"/>
      <c r="L14" s="4"/>
    </row>
    <row r="15" spans="1:12" x14ac:dyDescent="0.2">
      <c r="A15" s="4"/>
      <c r="B15" s="4"/>
      <c r="C15" s="4"/>
      <c r="D15" s="4"/>
      <c r="E15" s="4"/>
      <c r="F15" s="4"/>
      <c r="G15" s="4"/>
      <c r="H15" s="4"/>
      <c r="I15" s="4"/>
      <c r="J15" s="4"/>
      <c r="K15" s="4"/>
      <c r="L15" s="4"/>
    </row>
    <row r="16" spans="1:12" x14ac:dyDescent="0.2">
      <c r="A16" s="4"/>
      <c r="B16" s="4"/>
      <c r="C16" s="4"/>
      <c r="D16" s="4"/>
      <c r="E16" s="4"/>
      <c r="F16" s="4"/>
      <c r="G16" s="4"/>
      <c r="H16" s="4"/>
      <c r="I16" s="4"/>
      <c r="J16" s="4"/>
      <c r="K16" s="4"/>
      <c r="L16" s="4"/>
    </row>
    <row r="17" spans="1:12" x14ac:dyDescent="0.2">
      <c r="A17" s="4"/>
      <c r="B17" s="4"/>
      <c r="C17" s="4"/>
      <c r="D17" s="4"/>
      <c r="E17" s="4"/>
      <c r="F17" s="4"/>
      <c r="G17" s="4"/>
      <c r="H17" s="4"/>
      <c r="I17" s="4"/>
      <c r="J17" s="4"/>
      <c r="K17" s="4"/>
      <c r="L17" s="4"/>
    </row>
    <row r="18" spans="1:12" x14ac:dyDescent="0.2">
      <c r="A18" s="4"/>
      <c r="B18" s="4"/>
      <c r="C18" s="4"/>
      <c r="D18" s="4"/>
      <c r="E18" s="4"/>
      <c r="F18" s="4"/>
      <c r="G18" s="4"/>
      <c r="H18" s="4"/>
      <c r="I18" s="4"/>
      <c r="J18" s="4"/>
      <c r="K18" s="4"/>
      <c r="L18" s="4"/>
    </row>
    <row r="19" spans="1:12" x14ac:dyDescent="0.2">
      <c r="A19" s="4"/>
      <c r="B19" s="4"/>
      <c r="C19" s="4"/>
      <c r="D19" s="4"/>
      <c r="E19" s="4"/>
      <c r="F19" s="4"/>
      <c r="G19" s="4"/>
      <c r="H19" s="4"/>
      <c r="I19" s="4"/>
      <c r="J19" s="4"/>
      <c r="K19" s="4"/>
      <c r="L19" s="4"/>
    </row>
    <row r="20" spans="1:12" x14ac:dyDescent="0.2">
      <c r="A20" s="4"/>
      <c r="B20" s="4"/>
      <c r="C20" s="4"/>
      <c r="D20" s="4"/>
      <c r="E20" s="4"/>
      <c r="F20" s="4"/>
      <c r="G20" s="4"/>
      <c r="H20" s="4"/>
      <c r="I20" s="4"/>
      <c r="J20" s="4"/>
      <c r="K20" s="4"/>
      <c r="L20" s="4"/>
    </row>
    <row r="21" spans="1:12" x14ac:dyDescent="0.2">
      <c r="A21" s="4"/>
      <c r="B21" s="4"/>
      <c r="C21" s="4"/>
      <c r="D21" s="4"/>
      <c r="E21" s="4"/>
      <c r="F21" s="4"/>
      <c r="G21" s="4"/>
      <c r="H21" s="4"/>
      <c r="I21" s="4"/>
      <c r="J21" s="4"/>
      <c r="K21" s="4"/>
      <c r="L21" s="4"/>
    </row>
    <row r="22" spans="1:12" x14ac:dyDescent="0.2">
      <c r="A22" s="4"/>
      <c r="B22" s="4"/>
      <c r="C22" s="4"/>
      <c r="D22" s="4"/>
      <c r="E22" s="4"/>
      <c r="F22" s="4"/>
      <c r="G22" s="4"/>
      <c r="H22" s="4"/>
      <c r="I22" s="4"/>
      <c r="J22" s="4"/>
      <c r="K22" s="4"/>
      <c r="L22" s="4"/>
    </row>
    <row r="23" spans="1:12" x14ac:dyDescent="0.2">
      <c r="A23" s="4"/>
      <c r="B23" s="4"/>
      <c r="C23" s="4"/>
      <c r="D23" s="4"/>
      <c r="E23" s="4"/>
      <c r="F23" s="4"/>
      <c r="G23" s="4"/>
      <c r="H23" s="4"/>
      <c r="I23" s="4"/>
      <c r="J23" s="4"/>
      <c r="K23" s="4"/>
      <c r="L23" s="4"/>
    </row>
    <row r="24" spans="1:12" x14ac:dyDescent="0.2">
      <c r="A24" s="4"/>
      <c r="B24" s="4"/>
      <c r="C24" s="4"/>
      <c r="D24" s="4"/>
      <c r="E24" s="4"/>
      <c r="F24" s="4"/>
      <c r="G24" s="4"/>
      <c r="H24" s="4"/>
      <c r="I24" s="4"/>
      <c r="J24" s="4"/>
      <c r="K24" s="4"/>
      <c r="L24" s="4"/>
    </row>
    <row r="25" spans="1:12" x14ac:dyDescent="0.2">
      <c r="A25" s="4"/>
      <c r="B25" s="4"/>
      <c r="C25" s="4"/>
      <c r="D25" s="4"/>
      <c r="E25" s="4"/>
      <c r="F25" s="4"/>
      <c r="G25" s="4"/>
      <c r="H25" s="4"/>
      <c r="I25" s="4"/>
      <c r="J25" s="4"/>
      <c r="K25" s="4"/>
      <c r="L25" s="4"/>
    </row>
    <row r="26" spans="1:12" x14ac:dyDescent="0.2">
      <c r="A26" s="4"/>
      <c r="B26" s="4"/>
      <c r="C26" s="4"/>
      <c r="D26" s="4"/>
      <c r="E26" s="4"/>
      <c r="F26" s="4"/>
      <c r="G26" s="4"/>
      <c r="H26" s="4"/>
      <c r="I26" s="4"/>
      <c r="J26" s="4"/>
      <c r="K26" s="4"/>
      <c r="L26" s="4"/>
    </row>
    <row r="27" spans="1:12" x14ac:dyDescent="0.2">
      <c r="A27" s="4"/>
      <c r="B27" s="4"/>
      <c r="C27" s="4"/>
      <c r="D27" s="4"/>
      <c r="E27" s="4"/>
      <c r="F27" s="4"/>
      <c r="G27" s="4"/>
      <c r="H27" s="4"/>
      <c r="I27" s="4"/>
      <c r="J27" s="4"/>
      <c r="K27" s="4"/>
      <c r="L27" s="4"/>
    </row>
    <row r="28" spans="1:12" x14ac:dyDescent="0.2">
      <c r="A28" s="4"/>
      <c r="B28" s="4"/>
      <c r="C28" s="4"/>
      <c r="D28" s="4"/>
      <c r="E28" s="4"/>
      <c r="F28" s="4"/>
      <c r="G28" s="4"/>
      <c r="H28" s="4"/>
      <c r="I28" s="4"/>
      <c r="J28" s="4"/>
      <c r="K28" s="4"/>
      <c r="L28" s="4"/>
    </row>
    <row r="29" spans="1:12" x14ac:dyDescent="0.2">
      <c r="A29" s="4"/>
      <c r="B29" s="4"/>
      <c r="C29" s="4"/>
      <c r="D29" s="4"/>
      <c r="E29" s="4"/>
      <c r="F29" s="4"/>
      <c r="G29" s="4"/>
      <c r="H29" s="4"/>
      <c r="I29" s="4"/>
      <c r="J29" s="4"/>
      <c r="K29" s="4"/>
      <c r="L29" s="4"/>
    </row>
    <row r="30" spans="1:12" x14ac:dyDescent="0.2">
      <c r="A30" s="4"/>
      <c r="B30" s="4"/>
      <c r="C30" s="4"/>
      <c r="D30" s="4"/>
      <c r="E30" s="4"/>
      <c r="F30" s="4"/>
      <c r="G30" s="4"/>
      <c r="H30" s="4"/>
      <c r="I30" s="4"/>
      <c r="J30" s="4"/>
      <c r="K30" s="4"/>
      <c r="L30" s="4"/>
    </row>
    <row r="31" spans="1:12" x14ac:dyDescent="0.2">
      <c r="A31" s="4"/>
      <c r="B31" s="4"/>
      <c r="C31" s="4"/>
      <c r="D31" s="4"/>
      <c r="E31" s="4"/>
      <c r="F31" s="4"/>
      <c r="G31" s="4"/>
      <c r="H31" s="4"/>
      <c r="I31" s="4"/>
      <c r="J31" s="4"/>
      <c r="K31" s="4"/>
      <c r="L31" s="4"/>
    </row>
    <row r="32" spans="1:12" x14ac:dyDescent="0.2">
      <c r="A32" s="4"/>
      <c r="B32" s="4"/>
      <c r="C32" s="4"/>
      <c r="D32" s="4"/>
      <c r="E32" s="4"/>
      <c r="F32" s="4"/>
      <c r="G32" s="4"/>
      <c r="H32" s="4"/>
      <c r="I32" s="4"/>
      <c r="J32" s="4"/>
      <c r="K32" s="4"/>
      <c r="L32" s="4"/>
    </row>
    <row r="33" spans="1:12" x14ac:dyDescent="0.2">
      <c r="A33" s="4"/>
      <c r="B33" s="4"/>
      <c r="C33" s="4"/>
      <c r="D33" s="4"/>
      <c r="E33" s="4"/>
      <c r="F33" s="4"/>
      <c r="G33" s="4"/>
      <c r="H33" s="4"/>
      <c r="I33" s="4"/>
      <c r="J33" s="4"/>
      <c r="K33" s="4"/>
      <c r="L33" s="4"/>
    </row>
    <row r="34" spans="1:12" x14ac:dyDescent="0.2">
      <c r="A34" s="4"/>
      <c r="B34" s="4"/>
      <c r="C34" s="4"/>
      <c r="D34" s="4"/>
      <c r="E34" s="4"/>
      <c r="F34" s="4"/>
      <c r="G34" s="4"/>
      <c r="H34" s="4"/>
      <c r="I34" s="4"/>
      <c r="J34" s="4"/>
      <c r="K34" s="4"/>
      <c r="L34" s="4"/>
    </row>
    <row r="35" spans="1:12" x14ac:dyDescent="0.2">
      <c r="A35" s="4"/>
      <c r="B35" s="4"/>
      <c r="C35" s="4"/>
      <c r="D35" s="4"/>
      <c r="E35" s="4"/>
      <c r="F35" s="4"/>
      <c r="G35" s="4"/>
      <c r="H35" s="4"/>
      <c r="I35" s="4"/>
      <c r="J35" s="4"/>
      <c r="K35" s="4"/>
      <c r="L35" s="4"/>
    </row>
    <row r="36" spans="1:12" x14ac:dyDescent="0.2">
      <c r="A36" s="4"/>
      <c r="B36" s="4"/>
      <c r="C36" s="4"/>
      <c r="D36" s="4"/>
      <c r="E36" s="4"/>
      <c r="F36" s="4"/>
      <c r="G36" s="4"/>
      <c r="H36" s="4"/>
      <c r="I36" s="4"/>
      <c r="J36" s="4"/>
      <c r="K36" s="4"/>
      <c r="L36" s="4"/>
    </row>
    <row r="37" spans="1:12" x14ac:dyDescent="0.2">
      <c r="A37" s="4"/>
      <c r="B37" s="4"/>
      <c r="C37" s="4"/>
      <c r="D37" s="4"/>
      <c r="E37" s="4"/>
      <c r="F37" s="4"/>
      <c r="G37" s="4"/>
      <c r="H37" s="4"/>
      <c r="I37" s="4"/>
      <c r="J37" s="4"/>
      <c r="K37" s="4"/>
      <c r="L37" s="4"/>
    </row>
    <row r="38" spans="1:12" x14ac:dyDescent="0.2">
      <c r="A38" s="4"/>
      <c r="B38" s="4"/>
      <c r="C38" s="4"/>
      <c r="D38" s="4"/>
      <c r="E38" s="4"/>
      <c r="F38" s="4"/>
      <c r="G38" s="4"/>
      <c r="H38" s="4"/>
      <c r="I38" s="4"/>
      <c r="J38" s="4"/>
      <c r="K38" s="4"/>
      <c r="L38" s="4"/>
    </row>
    <row r="39" spans="1:12" x14ac:dyDescent="0.2">
      <c r="A39" s="4"/>
      <c r="B39" s="4"/>
      <c r="C39" s="4"/>
      <c r="D39" s="4"/>
      <c r="E39" s="4"/>
      <c r="F39" s="4"/>
      <c r="G39" s="4"/>
      <c r="H39" s="4"/>
      <c r="I39" s="4"/>
      <c r="J39" s="4"/>
      <c r="K39" s="4"/>
      <c r="L39" s="4"/>
    </row>
    <row r="40" spans="1:12" x14ac:dyDescent="0.2">
      <c r="A40" s="4"/>
      <c r="B40" s="4"/>
      <c r="C40" s="4"/>
      <c r="D40" s="4"/>
      <c r="E40" s="4"/>
      <c r="F40" s="4"/>
      <c r="G40" s="4"/>
      <c r="H40" s="4"/>
      <c r="I40" s="4"/>
      <c r="J40" s="4"/>
      <c r="K40" s="4"/>
      <c r="L40" s="4"/>
    </row>
    <row r="41" spans="1:12" x14ac:dyDescent="0.2">
      <c r="A41" s="4"/>
      <c r="B41" s="4"/>
      <c r="C41" s="4"/>
      <c r="D41" s="4"/>
      <c r="E41" s="4"/>
      <c r="F41" s="4"/>
      <c r="G41" s="4"/>
      <c r="H41" s="4"/>
      <c r="I41" s="4"/>
      <c r="J41" s="4"/>
      <c r="K41" s="4"/>
      <c r="L41" s="4"/>
    </row>
    <row r="42" spans="1:12" x14ac:dyDescent="0.2">
      <c r="A42" s="4"/>
      <c r="B42" s="4"/>
      <c r="C42" s="4"/>
      <c r="D42" s="4"/>
      <c r="E42" s="4"/>
      <c r="F42" s="4"/>
      <c r="G42" s="4"/>
      <c r="H42" s="4"/>
      <c r="I42" s="4"/>
      <c r="J42" s="4"/>
      <c r="K42" s="4"/>
      <c r="L42" s="4"/>
    </row>
    <row r="43" spans="1:12" x14ac:dyDescent="0.2">
      <c r="A43" s="4"/>
      <c r="B43" s="4"/>
      <c r="C43" s="4"/>
      <c r="D43" s="4"/>
      <c r="E43" s="4"/>
      <c r="F43" s="4"/>
      <c r="G43" s="4"/>
      <c r="H43" s="4"/>
      <c r="I43" s="4"/>
      <c r="J43" s="4"/>
      <c r="K43" s="4"/>
      <c r="L43" s="4"/>
    </row>
    <row r="44" spans="1:12" x14ac:dyDescent="0.2">
      <c r="A44" s="4"/>
      <c r="B44" s="4"/>
      <c r="C44" s="4"/>
      <c r="D44" s="4"/>
      <c r="E44" s="4"/>
      <c r="F44" s="4"/>
      <c r="G44" s="4"/>
      <c r="H44" s="4"/>
      <c r="I44" s="4"/>
      <c r="J44" s="4"/>
      <c r="K44" s="4"/>
      <c r="L44" s="4"/>
    </row>
  </sheetData>
  <mergeCells count="3">
    <mergeCell ref="A3:L3"/>
    <mergeCell ref="A2:L2"/>
    <mergeCell ref="A1:L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700-000000000000}">
      <formula1>"Pendente,Em andamento,Concluído,Não se aplica"</formula1>
    </dataValidation>
    <dataValidation type="list" allowBlank="1" sqref="G5 G6 G7 G8 G9 G10 G11 G12 H5 H6 H7 H8 H9 H10 H11 H12 H13 H14 H15" xr:uid="{00000000-0002-0000-0700-000001000000}">
      <formula1>"Baixa,Média,Alta,Crítica"</formula1>
    </dataValidation>
    <dataValidation type="list" allowBlank="1" sqref="F5 F6 F7 F8 F9 F10 F11 F12 F13 H5 H6 H7 H8 H9 H10 H11 H12 H13 H14 I5 I6 I7 I8 I9 I10 I11 I12 I13 I14" xr:uid="{00000000-0002-0000-0700-000002000000}">
      <formula1>"Sim,Não,Parcial,Não sei"</formula1>
    </dataValidation>
    <dataValidation type="list" allowBlank="1" sqref="C5 C6 C7 C8 C9 C10 C11 C12 C13 C14" xr:uid="{00000000-0002-0000-0700-000003000000}">
      <formula1>"Integrado,Parcial,Manual/Planilha,Não possui,Não informado"</formula1>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4"/>
  <sheetViews>
    <sheetView workbookViewId="0">
      <pane ySplit="4" topLeftCell="A5" activePane="bottomLeft" state="frozen"/>
      <selection pane="bottomLeft"/>
    </sheetView>
  </sheetViews>
  <sheetFormatPr baseColWidth="10" defaultColWidth="8.83203125" defaultRowHeight="15" x14ac:dyDescent="0.2"/>
  <cols>
    <col min="1" max="1" width="24" customWidth="1"/>
    <col min="2" max="2" width="16" customWidth="1"/>
    <col min="3" max="3" width="14" customWidth="1"/>
    <col min="4" max="5" width="18" customWidth="1"/>
    <col min="6" max="6" width="16" customWidth="1"/>
    <col min="7" max="8" width="14" customWidth="1"/>
    <col min="9" max="9" width="18" customWidth="1"/>
    <col min="10" max="10" width="12" customWidth="1"/>
    <col min="11" max="11" width="26" customWidth="1"/>
  </cols>
  <sheetData>
    <row r="1" spans="1:11" ht="24" customHeight="1" x14ac:dyDescent="0.2">
      <c r="A1" s="13" t="s">
        <v>145</v>
      </c>
      <c r="B1" s="12"/>
      <c r="C1" s="12"/>
      <c r="D1" s="12"/>
      <c r="E1" s="12"/>
      <c r="F1" s="12"/>
      <c r="G1" s="12"/>
      <c r="H1" s="12"/>
      <c r="I1" s="12"/>
      <c r="J1" s="12"/>
      <c r="K1" s="12"/>
    </row>
    <row r="2" spans="1:11" ht="34" customHeight="1" x14ac:dyDescent="0.2">
      <c r="A2" s="11" t="s">
        <v>146</v>
      </c>
      <c r="B2" s="12"/>
      <c r="C2" s="12"/>
      <c r="D2" s="12"/>
      <c r="E2" s="12"/>
      <c r="F2" s="12"/>
      <c r="G2" s="12"/>
      <c r="H2" s="12"/>
      <c r="I2" s="12"/>
      <c r="J2" s="12"/>
      <c r="K2" s="12"/>
    </row>
    <row r="4" spans="1:11" ht="22" customHeight="1" x14ac:dyDescent="0.2">
      <c r="A4" s="3" t="s">
        <v>147</v>
      </c>
      <c r="B4" s="3" t="s">
        <v>148</v>
      </c>
      <c r="C4" s="3" t="s">
        <v>149</v>
      </c>
      <c r="D4" s="3" t="s">
        <v>150</v>
      </c>
      <c r="E4" s="3" t="s">
        <v>151</v>
      </c>
      <c r="F4" s="3" t="s">
        <v>152</v>
      </c>
      <c r="G4" s="3" t="s">
        <v>153</v>
      </c>
      <c r="H4" s="3" t="s">
        <v>154</v>
      </c>
      <c r="I4" s="3" t="s">
        <v>155</v>
      </c>
      <c r="J4" s="3" t="s">
        <v>156</v>
      </c>
      <c r="K4" s="3" t="s">
        <v>19</v>
      </c>
    </row>
    <row r="5" spans="1:11" x14ac:dyDescent="0.2">
      <c r="A5" s="4"/>
      <c r="B5" s="4"/>
      <c r="C5" s="4"/>
      <c r="D5" s="4"/>
      <c r="E5" s="4"/>
      <c r="F5" s="4"/>
      <c r="G5" s="4"/>
      <c r="H5" s="4"/>
      <c r="I5" s="4"/>
      <c r="J5" s="4"/>
      <c r="K5" s="4"/>
    </row>
    <row r="6" spans="1:11" x14ac:dyDescent="0.2">
      <c r="A6" s="4"/>
      <c r="B6" s="4"/>
      <c r="C6" s="4"/>
      <c r="D6" s="4"/>
      <c r="E6" s="4"/>
      <c r="F6" s="4"/>
      <c r="G6" s="4"/>
      <c r="H6" s="4"/>
      <c r="I6" s="4"/>
      <c r="J6" s="4"/>
      <c r="K6" s="4"/>
    </row>
    <row r="7" spans="1:11" x14ac:dyDescent="0.2">
      <c r="A7" s="4"/>
      <c r="B7" s="4"/>
      <c r="C7" s="4"/>
      <c r="D7" s="4"/>
      <c r="E7" s="4"/>
      <c r="F7" s="4"/>
      <c r="G7" s="4"/>
      <c r="H7" s="4"/>
      <c r="I7" s="4"/>
      <c r="J7" s="4"/>
      <c r="K7" s="4"/>
    </row>
    <row r="8" spans="1:11" x14ac:dyDescent="0.2">
      <c r="A8" s="4"/>
      <c r="B8" s="4"/>
      <c r="C8" s="4"/>
      <c r="D8" s="4"/>
      <c r="E8" s="4"/>
      <c r="F8" s="4"/>
      <c r="G8" s="4"/>
      <c r="H8" s="4"/>
      <c r="I8" s="4"/>
      <c r="J8" s="4"/>
      <c r="K8" s="4"/>
    </row>
    <row r="9" spans="1:11" x14ac:dyDescent="0.2">
      <c r="A9" s="4"/>
      <c r="B9" s="4"/>
      <c r="C9" s="4"/>
      <c r="D9" s="4"/>
      <c r="E9" s="4"/>
      <c r="F9" s="4"/>
      <c r="G9" s="4"/>
      <c r="H9" s="4"/>
      <c r="I9" s="4"/>
      <c r="J9" s="4"/>
      <c r="K9" s="4"/>
    </row>
    <row r="10" spans="1:11" x14ac:dyDescent="0.2">
      <c r="A10" s="4"/>
      <c r="B10" s="4"/>
      <c r="C10" s="4"/>
      <c r="D10" s="4"/>
      <c r="E10" s="4"/>
      <c r="F10" s="4"/>
      <c r="G10" s="4"/>
      <c r="H10" s="4"/>
      <c r="I10" s="4"/>
      <c r="J10" s="4"/>
      <c r="K10" s="4"/>
    </row>
    <row r="11" spans="1:11" x14ac:dyDescent="0.2">
      <c r="A11" s="4"/>
      <c r="B11" s="4"/>
      <c r="C11" s="4"/>
      <c r="D11" s="4"/>
      <c r="E11" s="4"/>
      <c r="F11" s="4"/>
      <c r="G11" s="4"/>
      <c r="H11" s="4"/>
      <c r="I11" s="4"/>
      <c r="J11" s="4"/>
      <c r="K11" s="4"/>
    </row>
    <row r="12" spans="1:11" x14ac:dyDescent="0.2">
      <c r="A12" s="4"/>
      <c r="B12" s="4"/>
      <c r="C12" s="4"/>
      <c r="D12" s="4"/>
      <c r="E12" s="4"/>
      <c r="F12" s="4"/>
      <c r="G12" s="4"/>
      <c r="H12" s="4"/>
      <c r="I12" s="4"/>
      <c r="J12" s="4"/>
      <c r="K12" s="4"/>
    </row>
    <row r="13" spans="1:11" x14ac:dyDescent="0.2">
      <c r="A13" s="4"/>
      <c r="B13" s="4"/>
      <c r="C13" s="4"/>
      <c r="D13" s="4"/>
      <c r="E13" s="4"/>
      <c r="F13" s="4"/>
      <c r="G13" s="4"/>
      <c r="H13" s="4"/>
      <c r="I13" s="4"/>
      <c r="J13" s="4"/>
      <c r="K13" s="4"/>
    </row>
    <row r="14" spans="1:11" x14ac:dyDescent="0.2">
      <c r="A14" s="4"/>
      <c r="B14" s="4"/>
      <c r="C14" s="4"/>
      <c r="D14" s="4"/>
      <c r="E14" s="4"/>
      <c r="F14" s="4"/>
      <c r="G14" s="4"/>
      <c r="H14" s="4"/>
      <c r="I14" s="4"/>
      <c r="J14" s="4"/>
      <c r="K14" s="4"/>
    </row>
    <row r="15" spans="1:11" x14ac:dyDescent="0.2">
      <c r="A15" s="4"/>
      <c r="B15" s="4"/>
      <c r="C15" s="4"/>
      <c r="D15" s="4"/>
      <c r="E15" s="4"/>
      <c r="F15" s="4"/>
      <c r="G15" s="4"/>
      <c r="H15" s="4"/>
      <c r="I15" s="4"/>
      <c r="J15" s="4"/>
      <c r="K15" s="4"/>
    </row>
    <row r="16" spans="1:11" x14ac:dyDescent="0.2">
      <c r="A16" s="4"/>
      <c r="B16" s="4"/>
      <c r="C16" s="4"/>
      <c r="D16" s="4"/>
      <c r="E16" s="4"/>
      <c r="F16" s="4"/>
      <c r="G16" s="4"/>
      <c r="H16" s="4"/>
      <c r="I16" s="4"/>
      <c r="J16" s="4"/>
      <c r="K16" s="4"/>
    </row>
    <row r="17" spans="1:11" x14ac:dyDescent="0.2">
      <c r="A17" s="4"/>
      <c r="B17" s="4"/>
      <c r="C17" s="4"/>
      <c r="D17" s="4"/>
      <c r="E17" s="4"/>
      <c r="F17" s="4"/>
      <c r="G17" s="4"/>
      <c r="H17" s="4"/>
      <c r="I17" s="4"/>
      <c r="J17" s="4"/>
      <c r="K17" s="4"/>
    </row>
    <row r="18" spans="1:11" x14ac:dyDescent="0.2">
      <c r="A18" s="4"/>
      <c r="B18" s="4"/>
      <c r="C18" s="4"/>
      <c r="D18" s="4"/>
      <c r="E18" s="4"/>
      <c r="F18" s="4"/>
      <c r="G18" s="4"/>
      <c r="H18" s="4"/>
      <c r="I18" s="4"/>
      <c r="J18" s="4"/>
      <c r="K18" s="4"/>
    </row>
    <row r="19" spans="1:11" x14ac:dyDescent="0.2">
      <c r="A19" s="4"/>
      <c r="B19" s="4"/>
      <c r="C19" s="4"/>
      <c r="D19" s="4"/>
      <c r="E19" s="4"/>
      <c r="F19" s="4"/>
      <c r="G19" s="4"/>
      <c r="H19" s="4"/>
      <c r="I19" s="4"/>
      <c r="J19" s="4"/>
      <c r="K19" s="4"/>
    </row>
    <row r="20" spans="1:11" x14ac:dyDescent="0.2">
      <c r="A20" s="4"/>
      <c r="B20" s="4"/>
      <c r="C20" s="4"/>
      <c r="D20" s="4"/>
      <c r="E20" s="4"/>
      <c r="F20" s="4"/>
      <c r="G20" s="4"/>
      <c r="H20" s="4"/>
      <c r="I20" s="4"/>
      <c r="J20" s="4"/>
      <c r="K20" s="4"/>
    </row>
    <row r="21" spans="1:11" x14ac:dyDescent="0.2">
      <c r="A21" s="4"/>
      <c r="B21" s="4"/>
      <c r="C21" s="4"/>
      <c r="D21" s="4"/>
      <c r="E21" s="4"/>
      <c r="F21" s="4"/>
      <c r="G21" s="4"/>
      <c r="H21" s="4"/>
      <c r="I21" s="4"/>
      <c r="J21" s="4"/>
      <c r="K21" s="4"/>
    </row>
    <row r="22" spans="1:11" x14ac:dyDescent="0.2">
      <c r="A22" s="4"/>
      <c r="B22" s="4"/>
      <c r="C22" s="4"/>
      <c r="D22" s="4"/>
      <c r="E22" s="4"/>
      <c r="F22" s="4"/>
      <c r="G22" s="4"/>
      <c r="H22" s="4"/>
      <c r="I22" s="4"/>
      <c r="J22" s="4"/>
      <c r="K22" s="4"/>
    </row>
    <row r="23" spans="1:11" x14ac:dyDescent="0.2">
      <c r="A23" s="4"/>
      <c r="B23" s="4"/>
      <c r="C23" s="4"/>
      <c r="D23" s="4"/>
      <c r="E23" s="4"/>
      <c r="F23" s="4"/>
      <c r="G23" s="4"/>
      <c r="H23" s="4"/>
      <c r="I23" s="4"/>
      <c r="J23" s="4"/>
      <c r="K23" s="4"/>
    </row>
    <row r="24" spans="1:11" x14ac:dyDescent="0.2">
      <c r="A24" s="4"/>
      <c r="B24" s="4"/>
      <c r="C24" s="4"/>
      <c r="D24" s="4"/>
      <c r="E24" s="4"/>
      <c r="F24" s="4"/>
      <c r="G24" s="4"/>
      <c r="H24" s="4"/>
      <c r="I24" s="4"/>
      <c r="J24" s="4"/>
      <c r="K24" s="4"/>
    </row>
  </sheetData>
  <mergeCells count="2">
    <mergeCell ref="A2:K2"/>
    <mergeCell ref="A1:K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800-000000000000}">
      <formula1>"Pendente,Em andamento,Concluído,Não se aplica"</formula1>
    </dataValidation>
    <dataValidation type="list" allowBlank="1" sqref="G5 G6 G7 G8 G9 G10 G11 G12 H5 H6 H7 H8 H9 H10 H11 H12 H13 H14 H15" xr:uid="{00000000-0002-0000-0800-000001000000}">
      <formula1>"Baixa,Média,Alta,Crítica"</formula1>
    </dataValidation>
    <dataValidation type="list" allowBlank="1" sqref="F5 F6 F7 F8 F9 F10 F11 F12 F13 H5 H6 H7 H8 H9 H10 H11 H12 H13 H14 I5 I6 I7 I8 I9 I10 I11 I12 I13 I14" xr:uid="{00000000-0002-0000-0800-000002000000}">
      <formula1>"Sim,Não,Parcial,Não sei"</formula1>
    </dataValidation>
    <dataValidation type="list" allowBlank="1" sqref="C5 C6 C7 C8 C9 C10 C11 C12 C13 C14" xr:uid="{00000000-0002-0000-0800-000003000000}">
      <formula1>"Integrado,Parcial,Manual/Planilha,Não possui,Não informado"</formula1>
    </dataValidation>
  </dataValidation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7"/>
  <sheetViews>
    <sheetView workbookViewId="0">
      <pane ySplit="4" topLeftCell="A5" activePane="bottomLeft" state="frozen"/>
      <selection pane="bottomLeft"/>
    </sheetView>
  </sheetViews>
  <sheetFormatPr baseColWidth="10" defaultColWidth="8.83203125" defaultRowHeight="15" x14ac:dyDescent="0.2"/>
  <cols>
    <col min="1" max="1" width="18" customWidth="1"/>
    <col min="2" max="2" width="26" customWidth="1"/>
    <col min="3" max="3" width="30" customWidth="1"/>
    <col min="4" max="7" width="16" customWidth="1"/>
    <col min="8" max="8" width="26" customWidth="1"/>
  </cols>
  <sheetData>
    <row r="1" spans="1:8" ht="24" customHeight="1" x14ac:dyDescent="0.2">
      <c r="A1" s="13" t="s">
        <v>157</v>
      </c>
      <c r="B1" s="12"/>
      <c r="C1" s="12"/>
      <c r="D1" s="12"/>
      <c r="E1" s="12"/>
      <c r="F1" s="12"/>
      <c r="G1" s="12"/>
      <c r="H1" s="12"/>
    </row>
    <row r="2" spans="1:8" ht="34" customHeight="1" x14ac:dyDescent="0.2">
      <c r="A2" s="11" t="s">
        <v>158</v>
      </c>
      <c r="B2" s="12"/>
      <c r="C2" s="12"/>
      <c r="D2" s="12"/>
      <c r="E2" s="12"/>
      <c r="F2" s="12"/>
      <c r="G2" s="12"/>
      <c r="H2" s="12"/>
    </row>
    <row r="4" spans="1:8" ht="22" customHeight="1" x14ac:dyDescent="0.2">
      <c r="A4" s="3" t="s">
        <v>159</v>
      </c>
      <c r="B4" s="3" t="s">
        <v>160</v>
      </c>
      <c r="C4" s="3" t="s">
        <v>161</v>
      </c>
      <c r="D4" s="3" t="s">
        <v>162</v>
      </c>
      <c r="E4" s="3" t="s">
        <v>163</v>
      </c>
      <c r="F4" s="3" t="s">
        <v>164</v>
      </c>
      <c r="G4" s="3" t="s">
        <v>165</v>
      </c>
      <c r="H4" s="3" t="s">
        <v>19</v>
      </c>
    </row>
    <row r="5" spans="1:8" x14ac:dyDescent="0.2">
      <c r="A5" t="s">
        <v>166</v>
      </c>
      <c r="B5" t="s">
        <v>167</v>
      </c>
      <c r="C5" s="4"/>
      <c r="D5" t="s">
        <v>168</v>
      </c>
      <c r="E5" s="4"/>
      <c r="F5" s="5"/>
      <c r="G5" s="6">
        <f t="shared" ref="G5:G15" si="0">IFERROR(E5*F5,0)</f>
        <v>0</v>
      </c>
      <c r="H5" s="4"/>
    </row>
    <row r="6" spans="1:8" x14ac:dyDescent="0.2">
      <c r="A6" t="s">
        <v>166</v>
      </c>
      <c r="B6" t="s">
        <v>169</v>
      </c>
      <c r="C6" s="4"/>
      <c r="D6" t="s">
        <v>170</v>
      </c>
      <c r="E6" s="4"/>
      <c r="F6" s="5"/>
      <c r="G6" s="6">
        <f t="shared" si="0"/>
        <v>0</v>
      </c>
      <c r="H6" s="4"/>
    </row>
    <row r="7" spans="1:8" x14ac:dyDescent="0.2">
      <c r="A7" t="s">
        <v>166</v>
      </c>
      <c r="B7" t="s">
        <v>171</v>
      </c>
      <c r="C7" s="4"/>
      <c r="D7" t="s">
        <v>168</v>
      </c>
      <c r="E7" s="4"/>
      <c r="F7" s="5"/>
      <c r="G7" s="6">
        <f t="shared" si="0"/>
        <v>0</v>
      </c>
      <c r="H7" s="4"/>
    </row>
    <row r="8" spans="1:8" x14ac:dyDescent="0.2">
      <c r="A8" t="s">
        <v>166</v>
      </c>
      <c r="B8" t="s">
        <v>172</v>
      </c>
      <c r="C8" s="4"/>
      <c r="D8" t="s">
        <v>168</v>
      </c>
      <c r="E8" s="4"/>
      <c r="F8" s="5"/>
      <c r="G8" s="6">
        <f t="shared" si="0"/>
        <v>0</v>
      </c>
      <c r="H8" s="4"/>
    </row>
    <row r="9" spans="1:8" x14ac:dyDescent="0.2">
      <c r="A9" t="s">
        <v>173</v>
      </c>
      <c r="B9" t="s">
        <v>174</v>
      </c>
      <c r="C9" s="4"/>
      <c r="D9" t="s">
        <v>175</v>
      </c>
      <c r="E9" s="4"/>
      <c r="F9" s="5"/>
      <c r="G9" s="6">
        <f t="shared" si="0"/>
        <v>0</v>
      </c>
      <c r="H9" s="4"/>
    </row>
    <row r="10" spans="1:8" x14ac:dyDescent="0.2">
      <c r="A10" t="s">
        <v>173</v>
      </c>
      <c r="B10" t="s">
        <v>176</v>
      </c>
      <c r="C10" s="4"/>
      <c r="D10" t="s">
        <v>175</v>
      </c>
      <c r="E10" s="4"/>
      <c r="F10" s="5"/>
      <c r="G10" s="6">
        <f t="shared" si="0"/>
        <v>0</v>
      </c>
      <c r="H10" s="4"/>
    </row>
    <row r="11" spans="1:8" x14ac:dyDescent="0.2">
      <c r="A11" t="s">
        <v>177</v>
      </c>
      <c r="B11" t="s">
        <v>178</v>
      </c>
      <c r="C11" s="4"/>
      <c r="D11" t="s">
        <v>179</v>
      </c>
      <c r="E11" s="4"/>
      <c r="F11" s="5"/>
      <c r="G11" s="6">
        <f t="shared" si="0"/>
        <v>0</v>
      </c>
      <c r="H11" s="4"/>
    </row>
    <row r="12" spans="1:8" x14ac:dyDescent="0.2">
      <c r="A12" t="s">
        <v>177</v>
      </c>
      <c r="B12" t="s">
        <v>180</v>
      </c>
      <c r="C12" s="4"/>
      <c r="D12" t="s">
        <v>179</v>
      </c>
      <c r="E12" s="4"/>
      <c r="F12" s="5"/>
      <c r="G12" s="6">
        <f t="shared" si="0"/>
        <v>0</v>
      </c>
      <c r="H12" s="4"/>
    </row>
    <row r="13" spans="1:8" x14ac:dyDescent="0.2">
      <c r="A13" t="s">
        <v>181</v>
      </c>
      <c r="B13" t="s">
        <v>182</v>
      </c>
      <c r="C13" s="4"/>
      <c r="D13" t="s">
        <v>183</v>
      </c>
      <c r="E13" s="4"/>
      <c r="F13" s="5"/>
      <c r="G13" s="6">
        <f t="shared" si="0"/>
        <v>0</v>
      </c>
      <c r="H13" s="4"/>
    </row>
    <row r="14" spans="1:8" x14ac:dyDescent="0.2">
      <c r="A14" t="s">
        <v>181</v>
      </c>
      <c r="B14" t="s">
        <v>184</v>
      </c>
      <c r="C14" s="4"/>
      <c r="D14" t="s">
        <v>185</v>
      </c>
      <c r="E14" s="4"/>
      <c r="F14" s="5"/>
      <c r="G14" s="6">
        <f t="shared" si="0"/>
        <v>0</v>
      </c>
      <c r="H14" s="4"/>
    </row>
    <row r="15" spans="1:8" x14ac:dyDescent="0.2">
      <c r="A15" t="s">
        <v>186</v>
      </c>
      <c r="B15" t="s">
        <v>187</v>
      </c>
      <c r="C15" s="4"/>
      <c r="D15" t="s">
        <v>170</v>
      </c>
      <c r="E15" s="4"/>
      <c r="F15" s="5"/>
      <c r="G15" s="6">
        <f t="shared" si="0"/>
        <v>0</v>
      </c>
      <c r="H15" s="4"/>
    </row>
    <row r="18" spans="1:4" x14ac:dyDescent="0.2">
      <c r="A18" s="14" t="s">
        <v>188</v>
      </c>
      <c r="B18" s="15"/>
      <c r="C18" s="16"/>
      <c r="D18" s="17"/>
    </row>
    <row r="19" spans="1:4" ht="32" x14ac:dyDescent="0.2">
      <c r="A19" s="1" t="s">
        <v>189</v>
      </c>
      <c r="B19" s="5"/>
    </row>
    <row r="20" spans="1:4" ht="32" x14ac:dyDescent="0.2">
      <c r="A20" s="1" t="s">
        <v>190</v>
      </c>
      <c r="B20" s="5"/>
    </row>
    <row r="21" spans="1:4" ht="32" x14ac:dyDescent="0.2">
      <c r="A21" s="1" t="s">
        <v>191</v>
      </c>
      <c r="B21" s="5"/>
    </row>
    <row r="23" spans="1:4" x14ac:dyDescent="0.2">
      <c r="A23" s="14" t="s">
        <v>192</v>
      </c>
      <c r="B23" s="15"/>
      <c r="C23" s="16"/>
      <c r="D23" s="17"/>
    </row>
    <row r="24" spans="1:4" ht="32" x14ac:dyDescent="0.2">
      <c r="A24" s="1" t="s">
        <v>193</v>
      </c>
      <c r="B24" s="6">
        <f>SUM(G5:G15)</f>
        <v>0</v>
      </c>
    </row>
    <row r="25" spans="1:4" ht="32" x14ac:dyDescent="0.2">
      <c r="A25" s="1" t="s">
        <v>194</v>
      </c>
      <c r="B25" s="7"/>
    </row>
    <row r="26" spans="1:4" ht="16" x14ac:dyDescent="0.2">
      <c r="A26" s="1" t="s">
        <v>195</v>
      </c>
      <c r="B26" s="8">
        <f>IFERROR(B20-B24,0)</f>
        <v>0</v>
      </c>
    </row>
    <row r="27" spans="1:4" ht="16" x14ac:dyDescent="0.2">
      <c r="A27" s="1" t="s">
        <v>196</v>
      </c>
      <c r="B27" s="8">
        <f>IFERROR(B26/B20,0)</f>
        <v>0</v>
      </c>
    </row>
  </sheetData>
  <mergeCells count="4">
    <mergeCell ref="A23:D23"/>
    <mergeCell ref="A18:D18"/>
    <mergeCell ref="A2:H2"/>
    <mergeCell ref="A1:H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900-000000000000}">
      <formula1>"Pendente,Em andamento,Concluído,Não se aplica"</formula1>
    </dataValidation>
    <dataValidation type="list" allowBlank="1" sqref="G5 G6 G7 G8 G9 G10 G11 G12 H5 H6 H7 H8 H9 H10 H11 H12 H13 H14 H15" xr:uid="{00000000-0002-0000-0900-000001000000}">
      <formula1>"Baixa,Média,Alta,Crítica"</formula1>
    </dataValidation>
    <dataValidation type="list" allowBlank="1" sqref="F5 F6 F7 F8 F9 F10 F11 F12 F13 H5 H6 H7 H8 H9 H10 H11 H12 H13 H14 I5 I6 I7 I8 I9 I10 I11 I12 I13 I14" xr:uid="{00000000-0002-0000-0900-000002000000}">
      <formula1>"Sim,Não,Parcial,Não sei"</formula1>
    </dataValidation>
    <dataValidation type="list" allowBlank="1" sqref="C5 C6 C7 C8 C9 C10 C11 C12 C13 C14" xr:uid="{00000000-0002-0000-0900-000003000000}">
      <formula1>"Integrado,Parcial,Manual/Planilha,Não possui,Não informado"</formula1>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9"/>
  <sheetViews>
    <sheetView workbookViewId="0">
      <pane ySplit="4" topLeftCell="A5" activePane="bottomLeft" state="frozen"/>
      <selection pane="bottomLeft"/>
    </sheetView>
  </sheetViews>
  <sheetFormatPr baseColWidth="10" defaultColWidth="8.83203125" defaultRowHeight="15" x14ac:dyDescent="0.2"/>
  <cols>
    <col min="1" max="1" width="24" customWidth="1"/>
    <col min="2" max="2" width="18" customWidth="1"/>
    <col min="3" max="3" width="34" customWidth="1"/>
    <col min="4" max="4" width="14" customWidth="1"/>
    <col min="5" max="5" width="16" customWidth="1"/>
    <col min="6" max="6" width="12" customWidth="1"/>
    <col min="7" max="7" width="14" customWidth="1"/>
    <col min="8" max="8" width="18" customWidth="1"/>
    <col min="9" max="11" width="14" customWidth="1"/>
  </cols>
  <sheetData>
    <row r="1" spans="1:11" ht="24" customHeight="1" x14ac:dyDescent="0.2">
      <c r="A1" s="13" t="s">
        <v>197</v>
      </c>
      <c r="B1" s="12"/>
      <c r="C1" s="12"/>
      <c r="D1" s="12"/>
      <c r="E1" s="12"/>
      <c r="F1" s="12"/>
      <c r="G1" s="12"/>
      <c r="H1" s="12"/>
      <c r="I1" s="12"/>
      <c r="J1" s="12"/>
      <c r="K1" s="12"/>
    </row>
    <row r="2" spans="1:11" ht="34" customHeight="1" x14ac:dyDescent="0.2">
      <c r="A2" s="11" t="s">
        <v>198</v>
      </c>
      <c r="B2" s="12"/>
      <c r="C2" s="12"/>
      <c r="D2" s="12"/>
      <c r="E2" s="12"/>
      <c r="F2" s="12"/>
      <c r="G2" s="12"/>
      <c r="H2" s="12"/>
      <c r="I2" s="12"/>
      <c r="J2" s="12"/>
      <c r="K2" s="12"/>
    </row>
    <row r="4" spans="1:11" ht="22" customHeight="1" x14ac:dyDescent="0.2">
      <c r="A4" s="3" t="s">
        <v>199</v>
      </c>
      <c r="B4" s="3" t="s">
        <v>200</v>
      </c>
      <c r="C4" s="3" t="s">
        <v>201</v>
      </c>
      <c r="D4" s="3" t="s">
        <v>202</v>
      </c>
      <c r="E4" s="3" t="s">
        <v>203</v>
      </c>
      <c r="F4" s="3" t="s">
        <v>204</v>
      </c>
      <c r="G4" s="3" t="s">
        <v>205</v>
      </c>
      <c r="H4" s="3" t="s">
        <v>206</v>
      </c>
      <c r="I4" s="3" t="s">
        <v>207</v>
      </c>
      <c r="J4" s="3" t="s">
        <v>208</v>
      </c>
      <c r="K4" s="3" t="s">
        <v>209</v>
      </c>
    </row>
    <row r="5" spans="1:11" x14ac:dyDescent="0.2">
      <c r="A5" s="4"/>
      <c r="B5" s="4"/>
      <c r="C5" s="4"/>
      <c r="D5" s="4"/>
      <c r="E5" s="4"/>
      <c r="F5" s="4"/>
      <c r="G5" s="4"/>
      <c r="H5" s="4"/>
      <c r="I5" s="7">
        <f t="shared" ref="I5:I29" si="0">IFERROR(E5/D5,0)</f>
        <v>0</v>
      </c>
      <c r="J5" s="7">
        <f t="shared" ref="J5:J29" si="1">IFERROR(F5/E5,0)</f>
        <v>0</v>
      </c>
      <c r="K5" s="7">
        <f t="shared" ref="K5:K29" si="2">IFERROR(H5/G5,0)</f>
        <v>0</v>
      </c>
    </row>
    <row r="6" spans="1:11" x14ac:dyDescent="0.2">
      <c r="A6" s="4"/>
      <c r="B6" s="4"/>
      <c r="C6" s="4"/>
      <c r="D6" s="4"/>
      <c r="E6" s="4"/>
      <c r="F6" s="4"/>
      <c r="G6" s="4"/>
      <c r="H6" s="4"/>
      <c r="I6" s="7">
        <f t="shared" si="0"/>
        <v>0</v>
      </c>
      <c r="J6" s="7">
        <f t="shared" si="1"/>
        <v>0</v>
      </c>
      <c r="K6" s="7">
        <f t="shared" si="2"/>
        <v>0</v>
      </c>
    </row>
    <row r="7" spans="1:11" x14ac:dyDescent="0.2">
      <c r="A7" s="4"/>
      <c r="B7" s="4"/>
      <c r="C7" s="4"/>
      <c r="D7" s="4"/>
      <c r="E7" s="4"/>
      <c r="F7" s="4"/>
      <c r="G7" s="4"/>
      <c r="H7" s="4"/>
      <c r="I7" s="7">
        <f t="shared" si="0"/>
        <v>0</v>
      </c>
      <c r="J7" s="7">
        <f t="shared" si="1"/>
        <v>0</v>
      </c>
      <c r="K7" s="7">
        <f t="shared" si="2"/>
        <v>0</v>
      </c>
    </row>
    <row r="8" spans="1:11" x14ac:dyDescent="0.2">
      <c r="A8" s="4"/>
      <c r="B8" s="4"/>
      <c r="C8" s="4"/>
      <c r="D8" s="4"/>
      <c r="E8" s="4"/>
      <c r="F8" s="4"/>
      <c r="G8" s="4"/>
      <c r="H8" s="4"/>
      <c r="I8" s="7">
        <f t="shared" si="0"/>
        <v>0</v>
      </c>
      <c r="J8" s="7">
        <f t="shared" si="1"/>
        <v>0</v>
      </c>
      <c r="K8" s="7">
        <f t="shared" si="2"/>
        <v>0</v>
      </c>
    </row>
    <row r="9" spans="1:11" x14ac:dyDescent="0.2">
      <c r="A9" s="4"/>
      <c r="B9" s="4"/>
      <c r="C9" s="4"/>
      <c r="D9" s="4"/>
      <c r="E9" s="4"/>
      <c r="F9" s="4"/>
      <c r="G9" s="4"/>
      <c r="H9" s="4"/>
      <c r="I9" s="7">
        <f t="shared" si="0"/>
        <v>0</v>
      </c>
      <c r="J9" s="7">
        <f t="shared" si="1"/>
        <v>0</v>
      </c>
      <c r="K9" s="7">
        <f t="shared" si="2"/>
        <v>0</v>
      </c>
    </row>
    <row r="10" spans="1:11" x14ac:dyDescent="0.2">
      <c r="A10" s="4"/>
      <c r="B10" s="4"/>
      <c r="C10" s="4"/>
      <c r="D10" s="4"/>
      <c r="E10" s="4"/>
      <c r="F10" s="4"/>
      <c r="G10" s="4"/>
      <c r="H10" s="4"/>
      <c r="I10" s="7">
        <f t="shared" si="0"/>
        <v>0</v>
      </c>
      <c r="J10" s="7">
        <f t="shared" si="1"/>
        <v>0</v>
      </c>
      <c r="K10" s="7">
        <f t="shared" si="2"/>
        <v>0</v>
      </c>
    </row>
    <row r="11" spans="1:11" x14ac:dyDescent="0.2">
      <c r="A11" s="4"/>
      <c r="B11" s="4"/>
      <c r="C11" s="4"/>
      <c r="D11" s="4"/>
      <c r="E11" s="4"/>
      <c r="F11" s="4"/>
      <c r="G11" s="4"/>
      <c r="H11" s="4"/>
      <c r="I11" s="7">
        <f t="shared" si="0"/>
        <v>0</v>
      </c>
      <c r="J11" s="7">
        <f t="shared" si="1"/>
        <v>0</v>
      </c>
      <c r="K11" s="7">
        <f t="shared" si="2"/>
        <v>0</v>
      </c>
    </row>
    <row r="12" spans="1:11" x14ac:dyDescent="0.2">
      <c r="A12" s="4"/>
      <c r="B12" s="4"/>
      <c r="C12" s="4"/>
      <c r="D12" s="4"/>
      <c r="E12" s="4"/>
      <c r="F12" s="4"/>
      <c r="G12" s="4"/>
      <c r="H12" s="4"/>
      <c r="I12" s="7">
        <f t="shared" si="0"/>
        <v>0</v>
      </c>
      <c r="J12" s="7">
        <f t="shared" si="1"/>
        <v>0</v>
      </c>
      <c r="K12" s="7">
        <f t="shared" si="2"/>
        <v>0</v>
      </c>
    </row>
    <row r="13" spans="1:11" x14ac:dyDescent="0.2">
      <c r="A13" s="4"/>
      <c r="B13" s="4"/>
      <c r="C13" s="4"/>
      <c r="D13" s="4"/>
      <c r="E13" s="4"/>
      <c r="F13" s="4"/>
      <c r="G13" s="4"/>
      <c r="H13" s="4"/>
      <c r="I13" s="7">
        <f t="shared" si="0"/>
        <v>0</v>
      </c>
      <c r="J13" s="7">
        <f t="shared" si="1"/>
        <v>0</v>
      </c>
      <c r="K13" s="7">
        <f t="shared" si="2"/>
        <v>0</v>
      </c>
    </row>
    <row r="14" spans="1:11" x14ac:dyDescent="0.2">
      <c r="A14" s="4"/>
      <c r="B14" s="4"/>
      <c r="C14" s="4"/>
      <c r="D14" s="4"/>
      <c r="E14" s="4"/>
      <c r="F14" s="4"/>
      <c r="G14" s="4"/>
      <c r="H14" s="4"/>
      <c r="I14" s="7">
        <f t="shared" si="0"/>
        <v>0</v>
      </c>
      <c r="J14" s="7">
        <f t="shared" si="1"/>
        <v>0</v>
      </c>
      <c r="K14" s="7">
        <f t="shared" si="2"/>
        <v>0</v>
      </c>
    </row>
    <row r="15" spans="1:11" x14ac:dyDescent="0.2">
      <c r="A15" s="4"/>
      <c r="B15" s="4"/>
      <c r="C15" s="4"/>
      <c r="D15" s="4"/>
      <c r="E15" s="4"/>
      <c r="F15" s="4"/>
      <c r="G15" s="4"/>
      <c r="H15" s="4"/>
      <c r="I15" s="7">
        <f t="shared" si="0"/>
        <v>0</v>
      </c>
      <c r="J15" s="7">
        <f t="shared" si="1"/>
        <v>0</v>
      </c>
      <c r="K15" s="7">
        <f t="shared" si="2"/>
        <v>0</v>
      </c>
    </row>
    <row r="16" spans="1:11" x14ac:dyDescent="0.2">
      <c r="A16" s="4"/>
      <c r="B16" s="4"/>
      <c r="C16" s="4"/>
      <c r="D16" s="4"/>
      <c r="E16" s="4"/>
      <c r="F16" s="4"/>
      <c r="G16" s="4"/>
      <c r="H16" s="4"/>
      <c r="I16" s="7">
        <f t="shared" si="0"/>
        <v>0</v>
      </c>
      <c r="J16" s="7">
        <f t="shared" si="1"/>
        <v>0</v>
      </c>
      <c r="K16" s="7">
        <f t="shared" si="2"/>
        <v>0</v>
      </c>
    </row>
    <row r="17" spans="1:11" x14ac:dyDescent="0.2">
      <c r="A17" s="4"/>
      <c r="B17" s="4"/>
      <c r="C17" s="4"/>
      <c r="D17" s="4"/>
      <c r="E17" s="4"/>
      <c r="F17" s="4"/>
      <c r="G17" s="4"/>
      <c r="H17" s="4"/>
      <c r="I17" s="7">
        <f t="shared" si="0"/>
        <v>0</v>
      </c>
      <c r="J17" s="7">
        <f t="shared" si="1"/>
        <v>0</v>
      </c>
      <c r="K17" s="7">
        <f t="shared" si="2"/>
        <v>0</v>
      </c>
    </row>
    <row r="18" spans="1:11" x14ac:dyDescent="0.2">
      <c r="A18" s="4"/>
      <c r="B18" s="4"/>
      <c r="C18" s="4"/>
      <c r="D18" s="4"/>
      <c r="E18" s="4"/>
      <c r="F18" s="4"/>
      <c r="G18" s="4"/>
      <c r="H18" s="4"/>
      <c r="I18" s="7">
        <f t="shared" si="0"/>
        <v>0</v>
      </c>
      <c r="J18" s="7">
        <f t="shared" si="1"/>
        <v>0</v>
      </c>
      <c r="K18" s="7">
        <f t="shared" si="2"/>
        <v>0</v>
      </c>
    </row>
    <row r="19" spans="1:11" x14ac:dyDescent="0.2">
      <c r="A19" s="4"/>
      <c r="B19" s="4"/>
      <c r="C19" s="4"/>
      <c r="D19" s="4"/>
      <c r="E19" s="4"/>
      <c r="F19" s="4"/>
      <c r="G19" s="4"/>
      <c r="H19" s="4"/>
      <c r="I19" s="7">
        <f t="shared" si="0"/>
        <v>0</v>
      </c>
      <c r="J19" s="7">
        <f t="shared" si="1"/>
        <v>0</v>
      </c>
      <c r="K19" s="7">
        <f t="shared" si="2"/>
        <v>0</v>
      </c>
    </row>
    <row r="20" spans="1:11" x14ac:dyDescent="0.2">
      <c r="A20" s="4"/>
      <c r="B20" s="4"/>
      <c r="C20" s="4"/>
      <c r="D20" s="4"/>
      <c r="E20" s="4"/>
      <c r="F20" s="4"/>
      <c r="G20" s="4"/>
      <c r="H20" s="4"/>
      <c r="I20" s="7">
        <f t="shared" si="0"/>
        <v>0</v>
      </c>
      <c r="J20" s="7">
        <f t="shared" si="1"/>
        <v>0</v>
      </c>
      <c r="K20" s="7">
        <f t="shared" si="2"/>
        <v>0</v>
      </c>
    </row>
    <row r="21" spans="1:11" x14ac:dyDescent="0.2">
      <c r="A21" s="4"/>
      <c r="B21" s="4"/>
      <c r="C21" s="4"/>
      <c r="D21" s="4"/>
      <c r="E21" s="4"/>
      <c r="F21" s="4"/>
      <c r="G21" s="4"/>
      <c r="H21" s="4"/>
      <c r="I21" s="7">
        <f t="shared" si="0"/>
        <v>0</v>
      </c>
      <c r="J21" s="7">
        <f t="shared" si="1"/>
        <v>0</v>
      </c>
      <c r="K21" s="7">
        <f t="shared" si="2"/>
        <v>0</v>
      </c>
    </row>
    <row r="22" spans="1:11" x14ac:dyDescent="0.2">
      <c r="A22" s="4"/>
      <c r="B22" s="4"/>
      <c r="C22" s="4"/>
      <c r="D22" s="4"/>
      <c r="E22" s="4"/>
      <c r="F22" s="4"/>
      <c r="G22" s="4"/>
      <c r="H22" s="4"/>
      <c r="I22" s="7">
        <f t="shared" si="0"/>
        <v>0</v>
      </c>
      <c r="J22" s="7">
        <f t="shared" si="1"/>
        <v>0</v>
      </c>
      <c r="K22" s="7">
        <f t="shared" si="2"/>
        <v>0</v>
      </c>
    </row>
    <row r="23" spans="1:11" x14ac:dyDescent="0.2">
      <c r="A23" s="4"/>
      <c r="B23" s="4"/>
      <c r="C23" s="4"/>
      <c r="D23" s="4"/>
      <c r="E23" s="4"/>
      <c r="F23" s="4"/>
      <c r="G23" s="4"/>
      <c r="H23" s="4"/>
      <c r="I23" s="7">
        <f t="shared" si="0"/>
        <v>0</v>
      </c>
      <c r="J23" s="7">
        <f t="shared" si="1"/>
        <v>0</v>
      </c>
      <c r="K23" s="7">
        <f t="shared" si="2"/>
        <v>0</v>
      </c>
    </row>
    <row r="24" spans="1:11" x14ac:dyDescent="0.2">
      <c r="A24" s="4"/>
      <c r="B24" s="4"/>
      <c r="C24" s="4"/>
      <c r="D24" s="4"/>
      <c r="E24" s="4"/>
      <c r="F24" s="4"/>
      <c r="G24" s="4"/>
      <c r="H24" s="4"/>
      <c r="I24" s="7">
        <f t="shared" si="0"/>
        <v>0</v>
      </c>
      <c r="J24" s="7">
        <f t="shared" si="1"/>
        <v>0</v>
      </c>
      <c r="K24" s="7">
        <f t="shared" si="2"/>
        <v>0</v>
      </c>
    </row>
    <row r="25" spans="1:11" x14ac:dyDescent="0.2">
      <c r="A25" s="4"/>
      <c r="B25" s="4"/>
      <c r="C25" s="4"/>
      <c r="D25" s="4"/>
      <c r="E25" s="4"/>
      <c r="F25" s="4"/>
      <c r="G25" s="4"/>
      <c r="H25" s="4"/>
      <c r="I25" s="7">
        <f t="shared" si="0"/>
        <v>0</v>
      </c>
      <c r="J25" s="7">
        <f t="shared" si="1"/>
        <v>0</v>
      </c>
      <c r="K25" s="7">
        <f t="shared" si="2"/>
        <v>0</v>
      </c>
    </row>
    <row r="26" spans="1:11" x14ac:dyDescent="0.2">
      <c r="A26" s="4"/>
      <c r="B26" s="4"/>
      <c r="C26" s="4"/>
      <c r="D26" s="4"/>
      <c r="E26" s="4"/>
      <c r="F26" s="4"/>
      <c r="G26" s="4"/>
      <c r="H26" s="4"/>
      <c r="I26" s="7">
        <f t="shared" si="0"/>
        <v>0</v>
      </c>
      <c r="J26" s="7">
        <f t="shared" si="1"/>
        <v>0</v>
      </c>
      <c r="K26" s="7">
        <f t="shared" si="2"/>
        <v>0</v>
      </c>
    </row>
    <row r="27" spans="1:11" x14ac:dyDescent="0.2">
      <c r="A27" s="4"/>
      <c r="B27" s="4"/>
      <c r="C27" s="4"/>
      <c r="D27" s="4"/>
      <c r="E27" s="4"/>
      <c r="F27" s="4"/>
      <c r="G27" s="4"/>
      <c r="H27" s="4"/>
      <c r="I27" s="7">
        <f t="shared" si="0"/>
        <v>0</v>
      </c>
      <c r="J27" s="7">
        <f t="shared" si="1"/>
        <v>0</v>
      </c>
      <c r="K27" s="7">
        <f t="shared" si="2"/>
        <v>0</v>
      </c>
    </row>
    <row r="28" spans="1:11" x14ac:dyDescent="0.2">
      <c r="A28" s="4"/>
      <c r="B28" s="4"/>
      <c r="C28" s="4"/>
      <c r="D28" s="4"/>
      <c r="E28" s="4"/>
      <c r="F28" s="4"/>
      <c r="G28" s="4"/>
      <c r="H28" s="4"/>
      <c r="I28" s="7">
        <f t="shared" si="0"/>
        <v>0</v>
      </c>
      <c r="J28" s="7">
        <f t="shared" si="1"/>
        <v>0</v>
      </c>
      <c r="K28" s="7">
        <f t="shared" si="2"/>
        <v>0</v>
      </c>
    </row>
    <row r="29" spans="1:11" x14ac:dyDescent="0.2">
      <c r="A29" s="4"/>
      <c r="B29" s="4"/>
      <c r="C29" s="4"/>
      <c r="D29" s="4"/>
      <c r="E29" s="4"/>
      <c r="F29" s="4"/>
      <c r="G29" s="4"/>
      <c r="H29" s="4"/>
      <c r="I29" s="7">
        <f t="shared" si="0"/>
        <v>0</v>
      </c>
      <c r="J29" s="7">
        <f t="shared" si="1"/>
        <v>0</v>
      </c>
      <c r="K29" s="7">
        <f t="shared" si="2"/>
        <v>0</v>
      </c>
    </row>
  </sheetData>
  <mergeCells count="2">
    <mergeCell ref="A2:K2"/>
    <mergeCell ref="A1:K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A00-000000000000}">
      <formula1>"Pendente,Em andamento,Concluído,Não se aplica"</formula1>
    </dataValidation>
    <dataValidation type="list" allowBlank="1" sqref="G5 G6 G7 G8 G9 G10 G11 G12 H5 H6 H7 H8 H9 H10 H11 H12 H13 H14 H15" xr:uid="{00000000-0002-0000-0A00-000001000000}">
      <formula1>"Baixa,Média,Alta,Crítica"</formula1>
    </dataValidation>
    <dataValidation type="list" allowBlank="1" sqref="F5 F6 F7 F8 F9 F10 F11 F12 F13 H5 H6 H7 H8 H9 H10 H11 H12 H13 H14 I5 I6 I7 I8 I9 I10 I11 I12 I13 I14" xr:uid="{00000000-0002-0000-0A00-000002000000}">
      <formula1>"Sim,Não,Parcial,Não sei"</formula1>
    </dataValidation>
    <dataValidation type="list" allowBlank="1" sqref="C5 C6 C7 C8 C9 C10 C11 C12 C13 C14" xr:uid="{00000000-0002-0000-0A00-000003000000}">
      <formula1>"Integrado,Parcial,Manual/Planilha,Não possui,Não informado"</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9"/>
  <sheetViews>
    <sheetView workbookViewId="0">
      <pane ySplit="4" topLeftCell="A5" activePane="bottomLeft" state="frozen"/>
      <selection pane="bottomLeft"/>
    </sheetView>
  </sheetViews>
  <sheetFormatPr baseColWidth="10" defaultColWidth="8.83203125" defaultRowHeight="15" x14ac:dyDescent="0.2"/>
  <cols>
    <col min="1" max="1" width="18" customWidth="1"/>
    <col min="2" max="2" width="14" customWidth="1"/>
    <col min="3" max="3" width="34" customWidth="1"/>
    <col min="4" max="4" width="24" customWidth="1"/>
    <col min="5" max="5" width="18" customWidth="1"/>
    <col min="6" max="6" width="16" customWidth="1"/>
    <col min="7" max="7" width="18" customWidth="1"/>
    <col min="8" max="8" width="28" customWidth="1"/>
  </cols>
  <sheetData>
    <row r="1" spans="1:8" ht="24" customHeight="1" x14ac:dyDescent="0.2">
      <c r="A1" s="13" t="s">
        <v>210</v>
      </c>
      <c r="B1" s="12"/>
      <c r="C1" s="12"/>
      <c r="D1" s="12"/>
      <c r="E1" s="12"/>
      <c r="F1" s="12"/>
      <c r="G1" s="12"/>
      <c r="H1" s="12"/>
    </row>
    <row r="2" spans="1:8" ht="34" customHeight="1" x14ac:dyDescent="0.2">
      <c r="A2" s="11" t="s">
        <v>211</v>
      </c>
      <c r="B2" s="12"/>
      <c r="C2" s="12"/>
      <c r="D2" s="12"/>
      <c r="E2" s="12"/>
      <c r="F2" s="12"/>
      <c r="G2" s="12"/>
      <c r="H2" s="12"/>
    </row>
    <row r="4" spans="1:8" ht="22" customHeight="1" x14ac:dyDescent="0.2">
      <c r="A4" s="3" t="s">
        <v>212</v>
      </c>
      <c r="B4" s="3" t="s">
        <v>213</v>
      </c>
      <c r="C4" s="3" t="s">
        <v>214</v>
      </c>
      <c r="D4" s="3" t="s">
        <v>215</v>
      </c>
      <c r="E4" s="3" t="s">
        <v>216</v>
      </c>
      <c r="F4" s="3" t="s">
        <v>217</v>
      </c>
      <c r="G4" s="3" t="s">
        <v>47</v>
      </c>
      <c r="H4" s="3" t="s">
        <v>19</v>
      </c>
    </row>
    <row r="5" spans="1:8" x14ac:dyDescent="0.2">
      <c r="A5" s="4"/>
      <c r="B5" s="4"/>
      <c r="C5" s="4"/>
      <c r="D5" s="4"/>
      <c r="E5" s="5"/>
      <c r="F5" s="4"/>
      <c r="G5" s="4"/>
      <c r="H5" s="4"/>
    </row>
    <row r="6" spans="1:8" x14ac:dyDescent="0.2">
      <c r="A6" s="4"/>
      <c r="B6" s="4"/>
      <c r="C6" s="4"/>
      <c r="D6" s="4"/>
      <c r="E6" s="5"/>
      <c r="F6" s="4"/>
      <c r="G6" s="4"/>
      <c r="H6" s="4"/>
    </row>
    <row r="7" spans="1:8" x14ac:dyDescent="0.2">
      <c r="A7" s="4"/>
      <c r="B7" s="4"/>
      <c r="C7" s="4"/>
      <c r="D7" s="4"/>
      <c r="E7" s="5"/>
      <c r="F7" s="4"/>
      <c r="G7" s="4"/>
      <c r="H7" s="4"/>
    </row>
    <row r="8" spans="1:8" x14ac:dyDescent="0.2">
      <c r="A8" s="4"/>
      <c r="B8" s="4"/>
      <c r="C8" s="4"/>
      <c r="D8" s="4"/>
      <c r="E8" s="5"/>
      <c r="F8" s="4"/>
      <c r="G8" s="4"/>
      <c r="H8" s="4"/>
    </row>
    <row r="9" spans="1:8" x14ac:dyDescent="0.2">
      <c r="A9" s="4"/>
      <c r="B9" s="4"/>
      <c r="C9" s="4"/>
      <c r="D9" s="4"/>
      <c r="E9" s="5"/>
      <c r="F9" s="4"/>
      <c r="G9" s="4"/>
      <c r="H9" s="4"/>
    </row>
    <row r="10" spans="1:8" x14ac:dyDescent="0.2">
      <c r="A10" s="4"/>
      <c r="B10" s="4"/>
      <c r="C10" s="4"/>
      <c r="D10" s="4"/>
      <c r="E10" s="5"/>
      <c r="F10" s="4"/>
      <c r="G10" s="4"/>
      <c r="H10" s="4"/>
    </row>
    <row r="11" spans="1:8" x14ac:dyDescent="0.2">
      <c r="A11" s="4"/>
      <c r="B11" s="4"/>
      <c r="C11" s="4"/>
      <c r="D11" s="4"/>
      <c r="E11" s="5"/>
      <c r="F11" s="4"/>
      <c r="G11" s="4"/>
      <c r="H11" s="4"/>
    </row>
    <row r="12" spans="1:8" x14ac:dyDescent="0.2">
      <c r="A12" s="4"/>
      <c r="B12" s="4"/>
      <c r="C12" s="4"/>
      <c r="D12" s="4"/>
      <c r="E12" s="5"/>
      <c r="F12" s="4"/>
      <c r="G12" s="4"/>
      <c r="H12" s="4"/>
    </row>
    <row r="13" spans="1:8" x14ac:dyDescent="0.2">
      <c r="A13" s="4"/>
      <c r="B13" s="4"/>
      <c r="C13" s="4"/>
      <c r="D13" s="4"/>
      <c r="E13" s="5"/>
      <c r="F13" s="4"/>
      <c r="G13" s="4"/>
      <c r="H13" s="4"/>
    </row>
    <row r="14" spans="1:8" x14ac:dyDescent="0.2">
      <c r="A14" s="4"/>
      <c r="B14" s="4"/>
      <c r="C14" s="4"/>
      <c r="D14" s="4"/>
      <c r="E14" s="5"/>
      <c r="F14" s="4"/>
      <c r="G14" s="4"/>
      <c r="H14" s="4"/>
    </row>
    <row r="15" spans="1:8" x14ac:dyDescent="0.2">
      <c r="A15" s="4"/>
      <c r="B15" s="4"/>
      <c r="C15" s="4"/>
      <c r="D15" s="4"/>
      <c r="E15" s="5"/>
      <c r="F15" s="4"/>
      <c r="G15" s="4"/>
      <c r="H15" s="4"/>
    </row>
    <row r="16" spans="1:8" x14ac:dyDescent="0.2">
      <c r="A16" s="4"/>
      <c r="B16" s="4"/>
      <c r="C16" s="4"/>
      <c r="D16" s="4"/>
      <c r="E16" s="5"/>
      <c r="F16" s="4"/>
      <c r="G16" s="4"/>
      <c r="H16" s="4"/>
    </row>
    <row r="17" spans="1:8" x14ac:dyDescent="0.2">
      <c r="A17" s="4"/>
      <c r="B17" s="4"/>
      <c r="C17" s="4"/>
      <c r="D17" s="4"/>
      <c r="E17" s="5"/>
      <c r="F17" s="4"/>
      <c r="G17" s="4"/>
      <c r="H17" s="4"/>
    </row>
    <row r="18" spans="1:8" x14ac:dyDescent="0.2">
      <c r="A18" s="4"/>
      <c r="B18" s="4"/>
      <c r="C18" s="4"/>
      <c r="D18" s="4"/>
      <c r="E18" s="5"/>
      <c r="F18" s="4"/>
      <c r="G18" s="4"/>
      <c r="H18" s="4"/>
    </row>
    <row r="19" spans="1:8" x14ac:dyDescent="0.2">
      <c r="A19" s="4"/>
      <c r="B19" s="4"/>
      <c r="C19" s="4"/>
      <c r="D19" s="4"/>
      <c r="E19" s="5"/>
      <c r="F19" s="4"/>
      <c r="G19" s="4"/>
      <c r="H19" s="4"/>
    </row>
  </sheetData>
  <mergeCells count="2">
    <mergeCell ref="A2:H2"/>
    <mergeCell ref="A1:H1"/>
  </mergeCells>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B00-000000000000}">
      <formula1>"Pendente,Em andamento,Concluído,Não se aplica"</formula1>
    </dataValidation>
    <dataValidation type="list" allowBlank="1" sqref="G5 G6 G7 G8 G9 G10 G11 G12 H5 H6 H7 H8 H9 H10 H11 H12 H13 H14 H15" xr:uid="{00000000-0002-0000-0B00-000001000000}">
      <formula1>"Baixa,Média,Alta,Crítica"</formula1>
    </dataValidation>
    <dataValidation type="list" allowBlank="1" sqref="F5 F6 F7 F8 F9 F10 F11 F12 F13 H5 H6 H7 H8 H9 H10 H11 H12 H13 H14 I5 I6 I7 I8 I9 I10 I11 I12 I13 I14" xr:uid="{00000000-0002-0000-0B00-000002000000}">
      <formula1>"Sim,Não,Parcial,Não sei"</formula1>
    </dataValidation>
    <dataValidation type="list" allowBlank="1" sqref="C5 C6 C7 C8 C9 C10 C11 C12 C13 C14" xr:uid="{00000000-0002-0000-0B00-000003000000}">
      <formula1>"Integrado,Parcial,Manual/Planilha,Não possui,Não informado"</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workbookViewId="0">
      <pane ySplit="4" topLeftCell="A5" activePane="bottomLeft" state="frozen"/>
      <selection pane="bottomLeft"/>
    </sheetView>
  </sheetViews>
  <sheetFormatPr baseColWidth="10" defaultColWidth="8.83203125" defaultRowHeight="15" x14ac:dyDescent="0.2"/>
  <cols>
    <col min="1" max="1" width="28" customWidth="1"/>
    <col min="2" max="4" width="24" customWidth="1"/>
    <col min="5" max="5" width="14" customWidth="1"/>
    <col min="6" max="7" width="24" customWidth="1"/>
    <col min="8" max="8" width="14" customWidth="1"/>
  </cols>
  <sheetData>
    <row r="1" spans="1:8" ht="24" customHeight="1" x14ac:dyDescent="0.2">
      <c r="A1" s="13" t="s">
        <v>218</v>
      </c>
      <c r="B1" s="12"/>
      <c r="C1" s="12"/>
      <c r="D1" s="12"/>
      <c r="E1" s="12"/>
      <c r="F1" s="12"/>
      <c r="G1" s="12"/>
      <c r="H1" s="12"/>
    </row>
    <row r="2" spans="1:8" ht="34" customHeight="1" x14ac:dyDescent="0.2">
      <c r="A2" s="11" t="s">
        <v>219</v>
      </c>
      <c r="B2" s="12"/>
      <c r="C2" s="12"/>
      <c r="D2" s="12"/>
      <c r="E2" s="12"/>
      <c r="F2" s="12"/>
      <c r="G2" s="12"/>
      <c r="H2" s="12"/>
    </row>
    <row r="4" spans="1:8" ht="22" customHeight="1" x14ac:dyDescent="0.2">
      <c r="A4" s="3" t="s">
        <v>42</v>
      </c>
      <c r="B4" s="3" t="s">
        <v>220</v>
      </c>
      <c r="C4" s="3" t="s">
        <v>221</v>
      </c>
      <c r="D4" s="3" t="s">
        <v>222</v>
      </c>
      <c r="E4" s="3" t="s">
        <v>21</v>
      </c>
      <c r="F4" s="3" t="s">
        <v>19</v>
      </c>
      <c r="G4" s="3" t="s">
        <v>223</v>
      </c>
      <c r="H4" s="3" t="s">
        <v>224</v>
      </c>
    </row>
    <row r="5" spans="1:8" x14ac:dyDescent="0.2">
      <c r="A5" t="s">
        <v>225</v>
      </c>
      <c r="B5" s="4"/>
      <c r="C5" s="4"/>
      <c r="D5" s="4"/>
      <c r="F5" s="4"/>
      <c r="G5" s="4"/>
      <c r="H5" s="4"/>
    </row>
    <row r="6" spans="1:8" x14ac:dyDescent="0.2">
      <c r="A6" t="s">
        <v>226</v>
      </c>
      <c r="B6" s="4"/>
      <c r="C6" s="4"/>
      <c r="D6" s="4"/>
      <c r="F6" s="4"/>
      <c r="G6" s="4"/>
      <c r="H6" s="4"/>
    </row>
    <row r="7" spans="1:8" x14ac:dyDescent="0.2">
      <c r="A7" t="s">
        <v>227</v>
      </c>
      <c r="B7" s="4"/>
      <c r="C7" s="4"/>
      <c r="D7" s="4"/>
      <c r="F7" s="4"/>
      <c r="G7" s="4"/>
      <c r="H7" s="4"/>
    </row>
    <row r="8" spans="1:8" x14ac:dyDescent="0.2">
      <c r="A8" t="s">
        <v>228</v>
      </c>
      <c r="B8" s="4"/>
      <c r="C8" s="4"/>
      <c r="D8" s="4"/>
      <c r="F8" s="4"/>
      <c r="G8" s="4"/>
      <c r="H8" s="4"/>
    </row>
    <row r="9" spans="1:8" x14ac:dyDescent="0.2">
      <c r="A9" t="s">
        <v>229</v>
      </c>
      <c r="B9" s="4"/>
      <c r="C9" s="4"/>
      <c r="D9" s="4"/>
      <c r="F9" s="4"/>
      <c r="G9" s="4"/>
      <c r="H9" s="4"/>
    </row>
    <row r="10" spans="1:8" x14ac:dyDescent="0.2">
      <c r="A10" t="s">
        <v>230</v>
      </c>
      <c r="B10" s="4"/>
      <c r="C10" s="4"/>
      <c r="D10" s="4"/>
      <c r="F10" s="4"/>
      <c r="G10" s="4"/>
      <c r="H10" s="4"/>
    </row>
    <row r="11" spans="1:8" x14ac:dyDescent="0.2">
      <c r="A11" t="s">
        <v>231</v>
      </c>
      <c r="B11" s="4"/>
      <c r="C11" s="4"/>
      <c r="D11" s="4"/>
      <c r="F11" s="4"/>
      <c r="G11" s="4"/>
      <c r="H11" s="4"/>
    </row>
    <row r="12" spans="1:8" x14ac:dyDescent="0.2">
      <c r="A12" t="s">
        <v>232</v>
      </c>
      <c r="B12" s="4"/>
      <c r="C12" s="4"/>
      <c r="D12" s="4"/>
      <c r="F12" s="4"/>
      <c r="G12" s="4"/>
      <c r="H12" s="4"/>
    </row>
    <row r="13" spans="1:8" x14ac:dyDescent="0.2">
      <c r="A13" t="s">
        <v>233</v>
      </c>
      <c r="B13" s="4"/>
      <c r="C13" s="4"/>
      <c r="D13" s="4"/>
      <c r="F13" s="4"/>
      <c r="G13" s="4"/>
      <c r="H13" s="4"/>
    </row>
    <row r="14" spans="1:8" x14ac:dyDescent="0.2">
      <c r="A14" t="s">
        <v>83</v>
      </c>
      <c r="B14" s="4"/>
      <c r="C14" s="4"/>
      <c r="D14" s="4"/>
      <c r="F14" s="4"/>
      <c r="G14" s="4"/>
      <c r="H14" s="4"/>
    </row>
    <row r="15" spans="1:8" x14ac:dyDescent="0.2">
      <c r="A15" t="s">
        <v>234</v>
      </c>
      <c r="B15" s="4"/>
      <c r="C15" s="4"/>
      <c r="D15" s="4"/>
      <c r="F15" s="4"/>
      <c r="G15" s="4"/>
      <c r="H15" s="4"/>
    </row>
    <row r="16" spans="1:8" x14ac:dyDescent="0.2">
      <c r="A16" t="s">
        <v>235</v>
      </c>
      <c r="B16" s="4"/>
      <c r="C16" s="4"/>
      <c r="D16" s="4"/>
      <c r="F16" s="4"/>
      <c r="G16" s="4"/>
      <c r="H16" s="4"/>
    </row>
  </sheetData>
  <mergeCells count="2">
    <mergeCell ref="A2:H2"/>
    <mergeCell ref="A1:H1"/>
  </mergeCells>
  <dataValidations count="4">
    <dataValidation type="list" allowBlank="1" sqref="E5:E16 F5:F14 G5:G24 H5:H34" xr:uid="{00000000-0002-0000-0C00-000000000000}">
      <formula1>"Pendente,Em andamento,Concluído,Não se aplica"</formula1>
    </dataValidation>
    <dataValidation type="list" allowBlank="1" sqref="G5 G6 G7 G8 G9 G10 G11 G12 H5 H6 H7 H8 H9 H10 H11 H12 H13 H14 H15" xr:uid="{00000000-0002-0000-0C00-00000D000000}">
      <formula1>"Baixa,Média,Alta,Crítica"</formula1>
    </dataValidation>
    <dataValidation type="list" allowBlank="1" sqref="F5 F6 F7 F8 F9 F10 F11 F12 F13 H5 H6 H7 H8 H9 H10 H11 H12 H13 H14 I5 I6 I7 I8 I9 I10 I11 I12 I13 I14" xr:uid="{00000000-0002-0000-0C00-00000E000000}">
      <formula1>"Sim,Não,Parcial,Não sei"</formula1>
    </dataValidation>
    <dataValidation type="list" allowBlank="1" sqref="C5 C6 C7 C8 C9 C10 C11 C12 C13 C14" xr:uid="{00000000-0002-0000-0C00-00000F000000}">
      <formula1>"Integrado,Parcial,Manual/Planilha,Não possui,Não informado"</formula1>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5"/>
  <sheetViews>
    <sheetView workbookViewId="0">
      <pane ySplit="4" topLeftCell="A5" activePane="bottomLeft" state="frozen"/>
      <selection pane="bottomLeft"/>
    </sheetView>
  </sheetViews>
  <sheetFormatPr baseColWidth="10" defaultColWidth="8.83203125" defaultRowHeight="15" x14ac:dyDescent="0.2"/>
  <cols>
    <col min="1" max="3" width="24" customWidth="1"/>
    <col min="4" max="4" width="16" customWidth="1"/>
    <col min="5" max="6" width="24" customWidth="1"/>
    <col min="7" max="7" width="18" customWidth="1"/>
    <col min="8" max="8" width="14" customWidth="1"/>
    <col min="9" max="9" width="28" customWidth="1"/>
  </cols>
  <sheetData>
    <row r="1" spans="1:9" ht="24" customHeight="1" x14ac:dyDescent="0.2">
      <c r="A1" s="13" t="s">
        <v>236</v>
      </c>
      <c r="B1" s="12"/>
      <c r="C1" s="12"/>
      <c r="D1" s="12"/>
      <c r="E1" s="12"/>
      <c r="F1" s="12"/>
      <c r="G1" s="12"/>
      <c r="H1" s="12"/>
      <c r="I1" s="12"/>
    </row>
    <row r="2" spans="1:9" ht="34" customHeight="1" x14ac:dyDescent="0.2">
      <c r="A2" s="11" t="s">
        <v>237</v>
      </c>
      <c r="B2" s="12"/>
      <c r="C2" s="12"/>
      <c r="D2" s="12"/>
      <c r="E2" s="12"/>
      <c r="F2" s="12"/>
      <c r="G2" s="12"/>
      <c r="H2" s="12"/>
      <c r="I2" s="12"/>
    </row>
    <row r="4" spans="1:9" ht="22" customHeight="1" x14ac:dyDescent="0.2">
      <c r="A4" s="3" t="s">
        <v>42</v>
      </c>
      <c r="B4" s="3" t="s">
        <v>238</v>
      </c>
      <c r="C4" s="3" t="s">
        <v>239</v>
      </c>
      <c r="D4" s="3" t="s">
        <v>240</v>
      </c>
      <c r="E4" s="3" t="s">
        <v>241</v>
      </c>
      <c r="F4" s="3" t="s">
        <v>242</v>
      </c>
      <c r="G4" s="3" t="s">
        <v>47</v>
      </c>
      <c r="H4" s="3" t="s">
        <v>48</v>
      </c>
      <c r="I4" s="3" t="s">
        <v>19</v>
      </c>
    </row>
    <row r="5" spans="1:9" x14ac:dyDescent="0.2">
      <c r="A5" t="s">
        <v>243</v>
      </c>
      <c r="B5" s="4"/>
      <c r="C5" s="4"/>
      <c r="D5" s="4"/>
      <c r="E5" s="4"/>
      <c r="F5" s="4"/>
      <c r="G5" s="4"/>
      <c r="I5" s="4"/>
    </row>
    <row r="6" spans="1:9" x14ac:dyDescent="0.2">
      <c r="A6" t="s">
        <v>244</v>
      </c>
      <c r="B6" s="4"/>
      <c r="C6" s="4"/>
      <c r="D6" s="4"/>
      <c r="E6" s="4"/>
      <c r="F6" s="4"/>
      <c r="G6" s="4"/>
      <c r="I6" s="4"/>
    </row>
    <row r="7" spans="1:9" x14ac:dyDescent="0.2">
      <c r="A7" t="s">
        <v>245</v>
      </c>
      <c r="B7" s="4"/>
      <c r="C7" s="4"/>
      <c r="D7" s="4"/>
      <c r="E7" s="4"/>
      <c r="F7" s="4"/>
      <c r="G7" s="4"/>
      <c r="I7" s="4"/>
    </row>
    <row r="8" spans="1:9" x14ac:dyDescent="0.2">
      <c r="A8" t="s">
        <v>246</v>
      </c>
      <c r="B8" s="4"/>
      <c r="C8" s="4"/>
      <c r="D8" s="4"/>
      <c r="E8" s="4"/>
      <c r="F8" s="4"/>
      <c r="G8" s="4"/>
      <c r="I8" s="4"/>
    </row>
    <row r="9" spans="1:9" x14ac:dyDescent="0.2">
      <c r="A9" t="s">
        <v>247</v>
      </c>
      <c r="B9" s="4"/>
      <c r="C9" s="4"/>
      <c r="D9" s="4"/>
      <c r="E9" s="4"/>
      <c r="F9" s="4"/>
      <c r="G9" s="4"/>
      <c r="I9" s="4"/>
    </row>
    <row r="10" spans="1:9" x14ac:dyDescent="0.2">
      <c r="A10" t="s">
        <v>248</v>
      </c>
      <c r="B10" s="4"/>
      <c r="C10" s="4"/>
      <c r="D10" s="4"/>
      <c r="E10" s="4"/>
      <c r="F10" s="4"/>
      <c r="G10" s="4"/>
      <c r="I10" s="4"/>
    </row>
    <row r="11" spans="1:9" x14ac:dyDescent="0.2">
      <c r="A11" t="s">
        <v>249</v>
      </c>
      <c r="B11" s="4"/>
      <c r="C11" s="4"/>
      <c r="D11" s="4"/>
      <c r="E11" s="4"/>
      <c r="F11" s="4"/>
      <c r="G11" s="4"/>
      <c r="I11" s="4"/>
    </row>
    <row r="12" spans="1:9" x14ac:dyDescent="0.2">
      <c r="A12" t="s">
        <v>250</v>
      </c>
      <c r="B12" s="4"/>
      <c r="C12" s="4"/>
      <c r="D12" s="4"/>
      <c r="E12" s="4"/>
      <c r="F12" s="4"/>
      <c r="G12" s="4"/>
      <c r="I12" s="4"/>
    </row>
    <row r="13" spans="1:9" x14ac:dyDescent="0.2">
      <c r="A13" t="s">
        <v>251</v>
      </c>
      <c r="B13" s="4"/>
      <c r="C13" s="4"/>
      <c r="D13" s="4"/>
      <c r="E13" s="4"/>
      <c r="F13" s="4"/>
      <c r="G13" s="4"/>
      <c r="I13" s="4"/>
    </row>
    <row r="14" spans="1:9" x14ac:dyDescent="0.2">
      <c r="A14" t="s">
        <v>252</v>
      </c>
      <c r="B14" s="4"/>
      <c r="C14" s="4"/>
      <c r="D14" s="4"/>
      <c r="E14" s="4"/>
      <c r="F14" s="4"/>
      <c r="G14" s="4"/>
      <c r="I14" s="4"/>
    </row>
    <row r="15" spans="1:9" x14ac:dyDescent="0.2">
      <c r="A15" t="s">
        <v>253</v>
      </c>
      <c r="B15" s="4"/>
      <c r="C15" s="4"/>
      <c r="D15" s="4"/>
      <c r="E15" s="4"/>
      <c r="F15" s="4"/>
      <c r="G15" s="4"/>
      <c r="I15" s="4"/>
    </row>
  </sheetData>
  <mergeCells count="2">
    <mergeCell ref="A1:I1"/>
    <mergeCell ref="A2:I2"/>
  </mergeCells>
  <dataValidations count="4">
    <dataValidation type="list" allowBlank="1" sqref="G5:G12 H5:H15" xr:uid="{00000000-0002-0000-0D00-000000000000}">
      <formula1>"Baixa,Média,Alta,Crítica"</formula1>
    </dataValidation>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0D00-00000B000000}">
      <formula1>"Pendente,Em andamento,Concluído,Não se aplica"</formula1>
    </dataValidation>
    <dataValidation type="list" allowBlank="1" sqref="F5 F6 F7 F8 F9 F10 F11 F12 F13 H5 H6 H7 H8 H9 H10 H11 H12 H13 H14 I5 I6 I7 I8 I9 I10 I11 I12 I13 I14" xr:uid="{00000000-0002-0000-0D00-00000D000000}">
      <formula1>"Sim,Não,Parcial,Não sei"</formula1>
    </dataValidation>
    <dataValidation type="list" allowBlank="1" sqref="C5 C6 C7 C8 C9 C10 C11 C12 C13 C14" xr:uid="{00000000-0002-0000-0D00-00000E000000}">
      <formula1>"Integrado,Parcial,Manual/Planilha,Não possui,Não informado"</formula1>
    </dataValidation>
  </dataValidation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3"/>
  <sheetViews>
    <sheetView workbookViewId="0">
      <pane ySplit="4" topLeftCell="A5" activePane="bottomLeft" state="frozen"/>
      <selection pane="bottomLeft"/>
    </sheetView>
  </sheetViews>
  <sheetFormatPr baseColWidth="10" defaultColWidth="8.83203125" defaultRowHeight="15" x14ac:dyDescent="0.2"/>
  <cols>
    <col min="1" max="1" width="30" customWidth="1"/>
    <col min="2" max="2" width="28" customWidth="1"/>
    <col min="3" max="3" width="18" customWidth="1"/>
    <col min="4" max="4" width="16" customWidth="1"/>
    <col min="5" max="5" width="14" customWidth="1"/>
    <col min="6" max="6" width="20" customWidth="1"/>
    <col min="7" max="8" width="24" customWidth="1"/>
  </cols>
  <sheetData>
    <row r="1" spans="1:8" ht="24" customHeight="1" x14ac:dyDescent="0.2">
      <c r="A1" s="13" t="s">
        <v>254</v>
      </c>
      <c r="B1" s="12"/>
      <c r="C1" s="12"/>
      <c r="D1" s="12"/>
      <c r="E1" s="12"/>
      <c r="F1" s="12"/>
      <c r="G1" s="12"/>
      <c r="H1" s="12"/>
    </row>
    <row r="2" spans="1:8" ht="34" customHeight="1" x14ac:dyDescent="0.2">
      <c r="A2" s="11" t="s">
        <v>255</v>
      </c>
      <c r="B2" s="12"/>
      <c r="C2" s="12"/>
      <c r="D2" s="12"/>
      <c r="E2" s="12"/>
      <c r="F2" s="12"/>
      <c r="G2" s="12"/>
      <c r="H2" s="12"/>
    </row>
    <row r="4" spans="1:8" ht="22" customHeight="1" x14ac:dyDescent="0.2">
      <c r="A4" s="3" t="s">
        <v>42</v>
      </c>
      <c r="B4" s="3" t="s">
        <v>59</v>
      </c>
      <c r="C4" s="3" t="s">
        <v>256</v>
      </c>
      <c r="D4" s="3" t="s">
        <v>81</v>
      </c>
      <c r="E4" s="3" t="s">
        <v>21</v>
      </c>
      <c r="F4" s="3" t="s">
        <v>257</v>
      </c>
      <c r="G4" s="3" t="s">
        <v>19</v>
      </c>
      <c r="H4" s="3" t="s">
        <v>64</v>
      </c>
    </row>
    <row r="5" spans="1:8" x14ac:dyDescent="0.2">
      <c r="A5" t="s">
        <v>258</v>
      </c>
      <c r="B5" s="4"/>
      <c r="C5" s="4"/>
      <c r="D5" s="4"/>
      <c r="F5" s="4"/>
      <c r="G5" s="4"/>
      <c r="H5" s="4"/>
    </row>
    <row r="6" spans="1:8" x14ac:dyDescent="0.2">
      <c r="A6" t="s">
        <v>259</v>
      </c>
      <c r="B6" s="4"/>
      <c r="C6" s="4"/>
      <c r="D6" s="4"/>
      <c r="F6" s="4"/>
      <c r="G6" s="4"/>
      <c r="H6" s="4"/>
    </row>
    <row r="7" spans="1:8" x14ac:dyDescent="0.2">
      <c r="A7" t="s">
        <v>260</v>
      </c>
      <c r="B7" s="4"/>
      <c r="C7" s="4"/>
      <c r="D7" s="4"/>
      <c r="F7" s="4"/>
      <c r="G7" s="4"/>
      <c r="H7" s="4"/>
    </row>
    <row r="8" spans="1:8" x14ac:dyDescent="0.2">
      <c r="A8" t="s">
        <v>261</v>
      </c>
      <c r="B8" s="4"/>
      <c r="C8" s="4"/>
      <c r="D8" s="4"/>
      <c r="F8" s="4"/>
      <c r="G8" s="4"/>
      <c r="H8" s="4"/>
    </row>
    <row r="9" spans="1:8" x14ac:dyDescent="0.2">
      <c r="A9" t="s">
        <v>262</v>
      </c>
      <c r="B9" s="4"/>
      <c r="C9" s="4"/>
      <c r="D9" s="4"/>
      <c r="F9" s="4"/>
      <c r="G9" s="4"/>
      <c r="H9" s="4"/>
    </row>
    <row r="10" spans="1:8" x14ac:dyDescent="0.2">
      <c r="A10" t="s">
        <v>263</v>
      </c>
      <c r="B10" s="4"/>
      <c r="C10" s="4"/>
      <c r="D10" s="4"/>
      <c r="F10" s="4"/>
      <c r="G10" s="4"/>
      <c r="H10" s="4"/>
    </row>
    <row r="11" spans="1:8" x14ac:dyDescent="0.2">
      <c r="A11" t="s">
        <v>264</v>
      </c>
      <c r="B11" s="4"/>
      <c r="C11" s="4"/>
      <c r="D11" s="4"/>
      <c r="F11" s="4"/>
      <c r="G11" s="4"/>
      <c r="H11" s="4"/>
    </row>
    <row r="12" spans="1:8" x14ac:dyDescent="0.2">
      <c r="A12" t="s">
        <v>265</v>
      </c>
      <c r="B12" s="4"/>
      <c r="C12" s="4"/>
      <c r="D12" s="4"/>
      <c r="F12" s="4"/>
      <c r="G12" s="4"/>
      <c r="H12" s="4"/>
    </row>
    <row r="13" spans="1:8" x14ac:dyDescent="0.2">
      <c r="A13" t="s">
        <v>266</v>
      </c>
      <c r="B13" s="4"/>
      <c r="C13" s="4"/>
      <c r="D13" s="4"/>
      <c r="F13" s="4"/>
      <c r="G13" s="4"/>
      <c r="H13" s="4"/>
    </row>
  </sheetData>
  <mergeCells count="2">
    <mergeCell ref="A2:H2"/>
    <mergeCell ref="A1:H1"/>
  </mergeCells>
  <dataValidations count="4">
    <dataValidation type="list" allowBlank="1" sqref="E5:E16 F5:F14 G5:G24 H5:H34" xr:uid="{00000000-0002-0000-0E00-000000000000}">
      <formula1>"Pendente,Em andamento,Concluído,Não se aplica"</formula1>
    </dataValidation>
    <dataValidation type="list" allowBlank="1" sqref="G5 G6 G7 G8 G9 G10 G11 G12 H5 H6 H7 H8 H9 H10 H11 H12 H13 H14 H15" xr:uid="{00000000-0002-0000-0E00-00000A000000}">
      <formula1>"Baixa,Média,Alta,Crítica"</formula1>
    </dataValidation>
    <dataValidation type="list" allowBlank="1" sqref="F5 F6 F7 F8 F9 F10 F11 F12 F13 H5 H6 H7 H8 H9 H10 H11 H12 H13 H14 I5 I6 I7 I8 I9 I10 I11 I12 I13 I14" xr:uid="{00000000-0002-0000-0E00-00000B000000}">
      <formula1>"Sim,Não,Parcial,Não sei"</formula1>
    </dataValidation>
    <dataValidation type="list" allowBlank="1" sqref="C5 C6 C7 C8 C9 C10 C11 C12 C13 C14" xr:uid="{00000000-0002-0000-0E00-00000C000000}">
      <formula1>"Integrado,Parcial,Manual/Planilha,Não possui,Não informado"</formula1>
    </dataValidation>
  </dataValidation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34"/>
  <sheetViews>
    <sheetView workbookViewId="0">
      <pane ySplit="4" topLeftCell="A5" activePane="bottomLeft" state="frozen"/>
      <selection pane="bottomLeft"/>
    </sheetView>
  </sheetViews>
  <sheetFormatPr baseColWidth="10" defaultColWidth="8.83203125" defaultRowHeight="15" x14ac:dyDescent="0.2"/>
  <cols>
    <col min="1" max="2" width="18" customWidth="1"/>
    <col min="3" max="4" width="24" customWidth="1"/>
    <col min="5" max="6" width="18" customWidth="1"/>
    <col min="7" max="8" width="14" customWidth="1"/>
    <col min="9" max="9" width="22" customWidth="1"/>
    <col min="10" max="10" width="24" customWidth="1"/>
  </cols>
  <sheetData>
    <row r="1" spans="1:10" ht="24" customHeight="1" x14ac:dyDescent="0.2">
      <c r="A1" s="13" t="s">
        <v>267</v>
      </c>
      <c r="B1" s="12"/>
      <c r="C1" s="12"/>
      <c r="D1" s="12"/>
      <c r="E1" s="12"/>
      <c r="F1" s="12"/>
      <c r="G1" s="12"/>
      <c r="H1" s="12"/>
      <c r="I1" s="12"/>
      <c r="J1" s="12"/>
    </row>
    <row r="2" spans="1:10" ht="34" customHeight="1" x14ac:dyDescent="0.2">
      <c r="A2" s="11" t="s">
        <v>268</v>
      </c>
      <c r="B2" s="12"/>
      <c r="C2" s="12"/>
      <c r="D2" s="12"/>
      <c r="E2" s="12"/>
      <c r="F2" s="12"/>
      <c r="G2" s="12"/>
      <c r="H2" s="12"/>
      <c r="I2" s="12"/>
      <c r="J2" s="12"/>
    </row>
    <row r="4" spans="1:10" ht="22" customHeight="1" x14ac:dyDescent="0.2">
      <c r="A4" s="3" t="s">
        <v>269</v>
      </c>
      <c r="B4" s="3" t="s">
        <v>42</v>
      </c>
      <c r="C4" s="3" t="s">
        <v>270</v>
      </c>
      <c r="D4" s="3" t="s">
        <v>271</v>
      </c>
      <c r="E4" s="3" t="s">
        <v>272</v>
      </c>
      <c r="F4" s="3" t="s">
        <v>47</v>
      </c>
      <c r="G4" s="3" t="s">
        <v>273</v>
      </c>
      <c r="H4" s="3" t="s">
        <v>21</v>
      </c>
      <c r="I4" s="3" t="s">
        <v>274</v>
      </c>
      <c r="J4" s="3" t="s">
        <v>19</v>
      </c>
    </row>
    <row r="5" spans="1:10" x14ac:dyDescent="0.2">
      <c r="A5" s="4"/>
      <c r="B5" s="4"/>
      <c r="C5" s="4"/>
      <c r="D5" s="4"/>
      <c r="E5" s="4"/>
      <c r="F5" s="4"/>
      <c r="G5" s="4"/>
      <c r="H5" s="4"/>
      <c r="I5" s="4"/>
      <c r="J5" s="4"/>
    </row>
    <row r="6" spans="1:10" x14ac:dyDescent="0.2">
      <c r="A6" s="4"/>
      <c r="B6" s="4"/>
      <c r="C6" s="4"/>
      <c r="D6" s="4"/>
      <c r="E6" s="4"/>
      <c r="F6" s="4"/>
      <c r="G6" s="4"/>
      <c r="H6" s="4"/>
      <c r="I6" s="4"/>
      <c r="J6" s="4"/>
    </row>
    <row r="7" spans="1:10" x14ac:dyDescent="0.2">
      <c r="A7" s="4"/>
      <c r="B7" s="4"/>
      <c r="C7" s="4"/>
      <c r="D7" s="4"/>
      <c r="E7" s="4"/>
      <c r="F7" s="4"/>
      <c r="G7" s="4"/>
      <c r="H7" s="4"/>
      <c r="I7" s="4"/>
      <c r="J7" s="4"/>
    </row>
    <row r="8" spans="1:10" x14ac:dyDescent="0.2">
      <c r="A8" s="4"/>
      <c r="B8" s="4"/>
      <c r="C8" s="4"/>
      <c r="D8" s="4"/>
      <c r="E8" s="4"/>
      <c r="F8" s="4"/>
      <c r="G8" s="4"/>
      <c r="H8" s="4"/>
      <c r="I8" s="4"/>
      <c r="J8" s="4"/>
    </row>
    <row r="9" spans="1:10" x14ac:dyDescent="0.2">
      <c r="A9" s="4"/>
      <c r="B9" s="4"/>
      <c r="C9" s="4"/>
      <c r="D9" s="4"/>
      <c r="E9" s="4"/>
      <c r="F9" s="4"/>
      <c r="G9" s="4"/>
      <c r="H9" s="4"/>
      <c r="I9" s="4"/>
      <c r="J9" s="4"/>
    </row>
    <row r="10" spans="1:10" x14ac:dyDescent="0.2">
      <c r="A10" s="4"/>
      <c r="B10" s="4"/>
      <c r="C10" s="4"/>
      <c r="D10" s="4"/>
      <c r="E10" s="4"/>
      <c r="F10" s="4"/>
      <c r="G10" s="4"/>
      <c r="H10" s="4"/>
      <c r="I10" s="4"/>
      <c r="J10" s="4"/>
    </row>
    <row r="11" spans="1:10" x14ac:dyDescent="0.2">
      <c r="A11" s="4"/>
      <c r="B11" s="4"/>
      <c r="C11" s="4"/>
      <c r="D11" s="4"/>
      <c r="E11" s="4"/>
      <c r="F11" s="4"/>
      <c r="G11" s="4"/>
      <c r="H11" s="4"/>
      <c r="I11" s="4"/>
      <c r="J11" s="4"/>
    </row>
    <row r="12" spans="1:10" x14ac:dyDescent="0.2">
      <c r="A12" s="4"/>
      <c r="B12" s="4"/>
      <c r="C12" s="4"/>
      <c r="D12" s="4"/>
      <c r="E12" s="4"/>
      <c r="F12" s="4"/>
      <c r="G12" s="4"/>
      <c r="H12" s="4"/>
      <c r="I12" s="4"/>
      <c r="J12" s="4"/>
    </row>
    <row r="13" spans="1:10" x14ac:dyDescent="0.2">
      <c r="A13" s="4"/>
      <c r="B13" s="4"/>
      <c r="C13" s="4"/>
      <c r="D13" s="4"/>
      <c r="E13" s="4"/>
      <c r="F13" s="4"/>
      <c r="G13" s="4"/>
      <c r="H13" s="4"/>
      <c r="I13" s="4"/>
      <c r="J13" s="4"/>
    </row>
    <row r="14" spans="1:10" x14ac:dyDescent="0.2">
      <c r="A14" s="4"/>
      <c r="B14" s="4"/>
      <c r="C14" s="4"/>
      <c r="D14" s="4"/>
      <c r="E14" s="4"/>
      <c r="F14" s="4"/>
      <c r="G14" s="4"/>
      <c r="H14" s="4"/>
      <c r="I14" s="4"/>
      <c r="J14" s="4"/>
    </row>
    <row r="15" spans="1:10" x14ac:dyDescent="0.2">
      <c r="A15" s="4"/>
      <c r="B15" s="4"/>
      <c r="C15" s="4"/>
      <c r="D15" s="4"/>
      <c r="E15" s="4"/>
      <c r="F15" s="4"/>
      <c r="G15" s="4"/>
      <c r="H15" s="4"/>
      <c r="I15" s="4"/>
      <c r="J15" s="4"/>
    </row>
    <row r="16" spans="1:10" x14ac:dyDescent="0.2">
      <c r="A16" s="4"/>
      <c r="B16" s="4"/>
      <c r="C16" s="4"/>
      <c r="D16" s="4"/>
      <c r="E16" s="4"/>
      <c r="F16" s="4"/>
      <c r="G16" s="4"/>
      <c r="H16" s="4"/>
      <c r="I16" s="4"/>
      <c r="J16" s="4"/>
    </row>
    <row r="17" spans="1:10" x14ac:dyDescent="0.2">
      <c r="A17" s="4"/>
      <c r="B17" s="4"/>
      <c r="C17" s="4"/>
      <c r="D17" s="4"/>
      <c r="E17" s="4"/>
      <c r="F17" s="4"/>
      <c r="G17" s="4"/>
      <c r="H17" s="4"/>
      <c r="I17" s="4"/>
      <c r="J17" s="4"/>
    </row>
    <row r="18" spans="1:10" x14ac:dyDescent="0.2">
      <c r="A18" s="4"/>
      <c r="B18" s="4"/>
      <c r="C18" s="4"/>
      <c r="D18" s="4"/>
      <c r="E18" s="4"/>
      <c r="F18" s="4"/>
      <c r="G18" s="4"/>
      <c r="H18" s="4"/>
      <c r="I18" s="4"/>
      <c r="J18" s="4"/>
    </row>
    <row r="19" spans="1:10" x14ac:dyDescent="0.2">
      <c r="A19" s="4"/>
      <c r="B19" s="4"/>
      <c r="C19" s="4"/>
      <c r="D19" s="4"/>
      <c r="E19" s="4"/>
      <c r="F19" s="4"/>
      <c r="G19" s="4"/>
      <c r="H19" s="4"/>
      <c r="I19" s="4"/>
      <c r="J19" s="4"/>
    </row>
    <row r="20" spans="1:10" x14ac:dyDescent="0.2">
      <c r="A20" s="4"/>
      <c r="B20" s="4"/>
      <c r="C20" s="4"/>
      <c r="D20" s="4"/>
      <c r="E20" s="4"/>
      <c r="F20" s="4"/>
      <c r="G20" s="4"/>
      <c r="H20" s="4"/>
      <c r="I20" s="4"/>
      <c r="J20" s="4"/>
    </row>
    <row r="21" spans="1:10" x14ac:dyDescent="0.2">
      <c r="A21" s="4"/>
      <c r="B21" s="4"/>
      <c r="C21" s="4"/>
      <c r="D21" s="4"/>
      <c r="E21" s="4"/>
      <c r="F21" s="4"/>
      <c r="G21" s="4"/>
      <c r="H21" s="4"/>
      <c r="I21" s="4"/>
      <c r="J21" s="4"/>
    </row>
    <row r="22" spans="1:10" x14ac:dyDescent="0.2">
      <c r="A22" s="4"/>
      <c r="B22" s="4"/>
      <c r="C22" s="4"/>
      <c r="D22" s="4"/>
      <c r="E22" s="4"/>
      <c r="F22" s="4"/>
      <c r="G22" s="4"/>
      <c r="H22" s="4"/>
      <c r="I22" s="4"/>
      <c r="J22" s="4"/>
    </row>
    <row r="23" spans="1:10" x14ac:dyDescent="0.2">
      <c r="A23" s="4"/>
      <c r="B23" s="4"/>
      <c r="C23" s="4"/>
      <c r="D23" s="4"/>
      <c r="E23" s="4"/>
      <c r="F23" s="4"/>
      <c r="G23" s="4"/>
      <c r="H23" s="4"/>
      <c r="I23" s="4"/>
      <c r="J23" s="4"/>
    </row>
    <row r="24" spans="1:10" x14ac:dyDescent="0.2">
      <c r="A24" s="4"/>
      <c r="B24" s="4"/>
      <c r="C24" s="4"/>
      <c r="D24" s="4"/>
      <c r="E24" s="4"/>
      <c r="F24" s="4"/>
      <c r="G24" s="4"/>
      <c r="H24" s="4"/>
      <c r="I24" s="4"/>
      <c r="J24" s="4"/>
    </row>
    <row r="25" spans="1:10" x14ac:dyDescent="0.2">
      <c r="A25" s="4"/>
      <c r="B25" s="4"/>
      <c r="C25" s="4"/>
      <c r="D25" s="4"/>
      <c r="E25" s="4"/>
      <c r="F25" s="4"/>
      <c r="G25" s="4"/>
      <c r="H25" s="4"/>
      <c r="I25" s="4"/>
      <c r="J25" s="4"/>
    </row>
    <row r="26" spans="1:10" x14ac:dyDescent="0.2">
      <c r="A26" s="4"/>
      <c r="B26" s="4"/>
      <c r="C26" s="4"/>
      <c r="D26" s="4"/>
      <c r="E26" s="4"/>
      <c r="F26" s="4"/>
      <c r="G26" s="4"/>
      <c r="H26" s="4"/>
      <c r="I26" s="4"/>
      <c r="J26" s="4"/>
    </row>
    <row r="27" spans="1:10" x14ac:dyDescent="0.2">
      <c r="A27" s="4"/>
      <c r="B27" s="4"/>
      <c r="C27" s="4"/>
      <c r="D27" s="4"/>
      <c r="E27" s="4"/>
      <c r="F27" s="4"/>
      <c r="G27" s="4"/>
      <c r="H27" s="4"/>
      <c r="I27" s="4"/>
      <c r="J27" s="4"/>
    </row>
    <row r="28" spans="1:10" x14ac:dyDescent="0.2">
      <c r="A28" s="4"/>
      <c r="B28" s="4"/>
      <c r="C28" s="4"/>
      <c r="D28" s="4"/>
      <c r="E28" s="4"/>
      <c r="F28" s="4"/>
      <c r="G28" s="4"/>
      <c r="H28" s="4"/>
      <c r="I28" s="4"/>
      <c r="J28" s="4"/>
    </row>
    <row r="29" spans="1:10" x14ac:dyDescent="0.2">
      <c r="A29" s="4"/>
      <c r="B29" s="4"/>
      <c r="C29" s="4"/>
      <c r="D29" s="4"/>
      <c r="E29" s="4"/>
      <c r="F29" s="4"/>
      <c r="G29" s="4"/>
      <c r="H29" s="4"/>
      <c r="I29" s="4"/>
      <c r="J29" s="4"/>
    </row>
    <row r="30" spans="1:10" x14ac:dyDescent="0.2">
      <c r="A30" s="4"/>
      <c r="B30" s="4"/>
      <c r="C30" s="4"/>
      <c r="D30" s="4"/>
      <c r="E30" s="4"/>
      <c r="F30" s="4"/>
      <c r="G30" s="4"/>
      <c r="H30" s="4"/>
      <c r="I30" s="4"/>
      <c r="J30" s="4"/>
    </row>
    <row r="31" spans="1:10" x14ac:dyDescent="0.2">
      <c r="A31" s="4"/>
      <c r="B31" s="4"/>
      <c r="C31" s="4"/>
      <c r="D31" s="4"/>
      <c r="E31" s="4"/>
      <c r="F31" s="4"/>
      <c r="G31" s="4"/>
      <c r="H31" s="4"/>
      <c r="I31" s="4"/>
      <c r="J31" s="4"/>
    </row>
    <row r="32" spans="1:10" x14ac:dyDescent="0.2">
      <c r="A32" s="4"/>
      <c r="B32" s="4"/>
      <c r="C32" s="4"/>
      <c r="D32" s="4"/>
      <c r="E32" s="4"/>
      <c r="F32" s="4"/>
      <c r="G32" s="4"/>
      <c r="H32" s="4"/>
      <c r="I32" s="4"/>
      <c r="J32" s="4"/>
    </row>
    <row r="33" spans="1:10" x14ac:dyDescent="0.2">
      <c r="A33" s="4"/>
      <c r="B33" s="4"/>
      <c r="C33" s="4"/>
      <c r="D33" s="4"/>
      <c r="E33" s="4"/>
      <c r="F33" s="4"/>
      <c r="G33" s="4"/>
      <c r="H33" s="4"/>
      <c r="I33" s="4"/>
      <c r="J33" s="4"/>
    </row>
    <row r="34" spans="1:10" x14ac:dyDescent="0.2">
      <c r="A34" s="4"/>
      <c r="B34" s="4"/>
      <c r="C34" s="4"/>
      <c r="D34" s="4"/>
      <c r="E34" s="4"/>
      <c r="F34" s="4"/>
      <c r="G34" s="4"/>
      <c r="H34" s="4"/>
      <c r="I34" s="4"/>
      <c r="J34" s="4"/>
    </row>
  </sheetData>
  <mergeCells count="2">
    <mergeCell ref="A1:J1"/>
    <mergeCell ref="A2:J2"/>
  </mergeCells>
  <dataValidations count="4">
    <dataValidation type="list" allowBlank="1" sqref="E5:E16 F5:F14 G5:G24 H5:H34" xr:uid="{00000000-0002-0000-0F00-000000000000}">
      <formula1>"Pendente,Em andamento,Concluído,Não se aplica"</formula1>
    </dataValidation>
    <dataValidation type="list" allowBlank="1" sqref="G5 G6 G7 G8 G9 G10 G11 G12 H5 H6 H7 H8 H9 H10 H11 H12 H13 H14 H15" xr:uid="{00000000-0002-0000-0F00-00001F000000}">
      <formula1>"Baixa,Média,Alta,Crítica"</formula1>
    </dataValidation>
    <dataValidation type="list" allowBlank="1" sqref="F5 F6 F7 F8 F9 F10 F11 F12 F13 H5 H6 H7 H8 H9 H10 H11 H12 H13 H14 I5 I6 I7 I8 I9 I10 I11 I12 I13 I14" xr:uid="{00000000-0002-0000-0F00-000020000000}">
      <formula1>"Sim,Não,Parcial,Não sei"</formula1>
    </dataValidation>
    <dataValidation type="list" allowBlank="1" sqref="C5 C6 C7 C8 C9 C10 C11 C12 C13 C14" xr:uid="{00000000-0002-0000-0F00-000021000000}">
      <formula1>"Integrado,Parcial,Manual/Planilha,Não possui,Não informado"</formula1>
    </dataValidation>
  </dataValidation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4"/>
  <sheetViews>
    <sheetView workbookViewId="0">
      <pane ySplit="4" topLeftCell="A5" activePane="bottomLeft" state="frozen"/>
      <selection pane="bottomLeft"/>
    </sheetView>
  </sheetViews>
  <sheetFormatPr baseColWidth="10" defaultColWidth="8.83203125" defaultRowHeight="15" x14ac:dyDescent="0.2"/>
  <cols>
    <col min="1" max="1" width="14" customWidth="1"/>
    <col min="2" max="2" width="24" customWidth="1"/>
    <col min="3" max="3" width="34" customWidth="1"/>
    <col min="4" max="5" width="18" customWidth="1"/>
    <col min="6" max="7" width="14" customWidth="1"/>
    <col min="8" max="8" width="24" customWidth="1"/>
  </cols>
  <sheetData>
    <row r="1" spans="1:8" ht="24" customHeight="1" x14ac:dyDescent="0.2">
      <c r="A1" s="13" t="s">
        <v>275</v>
      </c>
      <c r="B1" s="12"/>
      <c r="C1" s="12"/>
      <c r="D1" s="12"/>
      <c r="E1" s="12"/>
      <c r="F1" s="12"/>
      <c r="G1" s="12"/>
      <c r="H1" s="12"/>
    </row>
    <row r="2" spans="1:8" ht="34" customHeight="1" x14ac:dyDescent="0.2">
      <c r="A2" s="11" t="s">
        <v>276</v>
      </c>
      <c r="B2" s="12"/>
      <c r="C2" s="12"/>
      <c r="D2" s="12"/>
      <c r="E2" s="12"/>
      <c r="F2" s="12"/>
      <c r="G2" s="12"/>
      <c r="H2" s="12"/>
    </row>
    <row r="4" spans="1:8" ht="22" customHeight="1" x14ac:dyDescent="0.2">
      <c r="A4" s="3" t="s">
        <v>114</v>
      </c>
      <c r="B4" s="3" t="s">
        <v>277</v>
      </c>
      <c r="C4" s="3" t="s">
        <v>161</v>
      </c>
      <c r="D4" s="3" t="s">
        <v>278</v>
      </c>
      <c r="E4" s="3" t="s">
        <v>279</v>
      </c>
      <c r="F4" s="3" t="s">
        <v>273</v>
      </c>
      <c r="G4" s="3" t="s">
        <v>21</v>
      </c>
      <c r="H4" s="3" t="s">
        <v>19</v>
      </c>
    </row>
    <row r="5" spans="1:8" x14ac:dyDescent="0.2">
      <c r="A5" s="4"/>
      <c r="B5" s="4"/>
      <c r="C5" s="4"/>
      <c r="D5" s="4"/>
      <c r="E5" s="4"/>
      <c r="F5" s="4"/>
      <c r="G5" s="4"/>
      <c r="H5" s="4"/>
    </row>
    <row r="6" spans="1:8" x14ac:dyDescent="0.2">
      <c r="A6" s="4"/>
      <c r="B6" s="4"/>
      <c r="C6" s="4"/>
      <c r="D6" s="4"/>
      <c r="E6" s="4"/>
      <c r="F6" s="4"/>
      <c r="G6" s="4"/>
      <c r="H6" s="4"/>
    </row>
    <row r="7" spans="1:8" x14ac:dyDescent="0.2">
      <c r="A7" s="4"/>
      <c r="B7" s="4"/>
      <c r="C7" s="4"/>
      <c r="D7" s="4"/>
      <c r="E7" s="4"/>
      <c r="F7" s="4"/>
      <c r="G7" s="4"/>
      <c r="H7" s="4"/>
    </row>
    <row r="8" spans="1:8" x14ac:dyDescent="0.2">
      <c r="A8" s="4"/>
      <c r="B8" s="4"/>
      <c r="C8" s="4"/>
      <c r="D8" s="4"/>
      <c r="E8" s="4"/>
      <c r="F8" s="4"/>
      <c r="G8" s="4"/>
      <c r="H8" s="4"/>
    </row>
    <row r="9" spans="1:8" x14ac:dyDescent="0.2">
      <c r="A9" s="4"/>
      <c r="B9" s="4"/>
      <c r="C9" s="4"/>
      <c r="D9" s="4"/>
      <c r="E9" s="4"/>
      <c r="F9" s="4"/>
      <c r="G9" s="4"/>
      <c r="H9" s="4"/>
    </row>
    <row r="10" spans="1:8" x14ac:dyDescent="0.2">
      <c r="A10" s="4"/>
      <c r="B10" s="4"/>
      <c r="C10" s="4"/>
      <c r="D10" s="4"/>
      <c r="E10" s="4"/>
      <c r="F10" s="4"/>
      <c r="G10" s="4"/>
      <c r="H10" s="4"/>
    </row>
    <row r="11" spans="1:8" x14ac:dyDescent="0.2">
      <c r="A11" s="4"/>
      <c r="B11" s="4"/>
      <c r="C11" s="4"/>
      <c r="D11" s="4"/>
      <c r="E11" s="4"/>
      <c r="F11" s="4"/>
      <c r="G11" s="4"/>
      <c r="H11" s="4"/>
    </row>
    <row r="12" spans="1:8" x14ac:dyDescent="0.2">
      <c r="A12" s="4"/>
      <c r="B12" s="4"/>
      <c r="C12" s="4"/>
      <c r="D12" s="4"/>
      <c r="E12" s="4"/>
      <c r="F12" s="4"/>
      <c r="G12" s="4"/>
      <c r="H12" s="4"/>
    </row>
    <row r="13" spans="1:8" x14ac:dyDescent="0.2">
      <c r="A13" s="4"/>
      <c r="B13" s="4"/>
      <c r="C13" s="4"/>
      <c r="D13" s="4"/>
      <c r="E13" s="4"/>
      <c r="F13" s="4"/>
      <c r="G13" s="4"/>
      <c r="H13" s="4"/>
    </row>
    <row r="14" spans="1:8" x14ac:dyDescent="0.2">
      <c r="A14" s="4"/>
      <c r="B14" s="4"/>
      <c r="C14" s="4"/>
      <c r="D14" s="4"/>
      <c r="E14" s="4"/>
      <c r="F14" s="4"/>
      <c r="G14" s="4"/>
      <c r="H14" s="4"/>
    </row>
    <row r="15" spans="1:8" x14ac:dyDescent="0.2">
      <c r="A15" s="4"/>
      <c r="B15" s="4"/>
      <c r="C15" s="4"/>
      <c r="D15" s="4"/>
      <c r="E15" s="4"/>
      <c r="F15" s="4"/>
      <c r="G15" s="4"/>
      <c r="H15" s="4"/>
    </row>
    <row r="16" spans="1:8" x14ac:dyDescent="0.2">
      <c r="A16" s="4"/>
      <c r="B16" s="4"/>
      <c r="C16" s="4"/>
      <c r="D16" s="4"/>
      <c r="E16" s="4"/>
      <c r="F16" s="4"/>
      <c r="G16" s="4"/>
      <c r="H16" s="4"/>
    </row>
    <row r="17" spans="1:8" x14ac:dyDescent="0.2">
      <c r="A17" s="4"/>
      <c r="B17" s="4"/>
      <c r="C17" s="4"/>
      <c r="D17" s="4"/>
      <c r="E17" s="4"/>
      <c r="F17" s="4"/>
      <c r="G17" s="4"/>
      <c r="H17" s="4"/>
    </row>
    <row r="18" spans="1:8" x14ac:dyDescent="0.2">
      <c r="A18" s="4"/>
      <c r="B18" s="4"/>
      <c r="C18" s="4"/>
      <c r="D18" s="4"/>
      <c r="E18" s="4"/>
      <c r="F18" s="4"/>
      <c r="G18" s="4"/>
      <c r="H18" s="4"/>
    </row>
    <row r="19" spans="1:8" x14ac:dyDescent="0.2">
      <c r="A19" s="4"/>
      <c r="B19" s="4"/>
      <c r="C19" s="4"/>
      <c r="D19" s="4"/>
      <c r="E19" s="4"/>
      <c r="F19" s="4"/>
      <c r="G19" s="4"/>
      <c r="H19" s="4"/>
    </row>
    <row r="20" spans="1:8" x14ac:dyDescent="0.2">
      <c r="A20" s="4"/>
      <c r="B20" s="4"/>
      <c r="C20" s="4"/>
      <c r="D20" s="4"/>
      <c r="E20" s="4"/>
      <c r="F20" s="4"/>
      <c r="G20" s="4"/>
      <c r="H20" s="4"/>
    </row>
    <row r="21" spans="1:8" x14ac:dyDescent="0.2">
      <c r="A21" s="4"/>
      <c r="B21" s="4"/>
      <c r="C21" s="4"/>
      <c r="D21" s="4"/>
      <c r="E21" s="4"/>
      <c r="F21" s="4"/>
      <c r="G21" s="4"/>
      <c r="H21" s="4"/>
    </row>
    <row r="22" spans="1:8" x14ac:dyDescent="0.2">
      <c r="A22" s="4"/>
      <c r="B22" s="4"/>
      <c r="C22" s="4"/>
      <c r="D22" s="4"/>
      <c r="E22" s="4"/>
      <c r="F22" s="4"/>
      <c r="G22" s="4"/>
      <c r="H22" s="4"/>
    </row>
    <row r="23" spans="1:8" x14ac:dyDescent="0.2">
      <c r="A23" s="4"/>
      <c r="B23" s="4"/>
      <c r="C23" s="4"/>
      <c r="D23" s="4"/>
      <c r="E23" s="4"/>
      <c r="F23" s="4"/>
      <c r="G23" s="4"/>
      <c r="H23" s="4"/>
    </row>
    <row r="24" spans="1:8" x14ac:dyDescent="0.2">
      <c r="A24" s="4"/>
      <c r="B24" s="4"/>
      <c r="C24" s="4"/>
      <c r="D24" s="4"/>
      <c r="E24" s="4"/>
      <c r="F24" s="4"/>
      <c r="G24" s="4"/>
      <c r="H24" s="4"/>
    </row>
  </sheetData>
  <mergeCells count="2">
    <mergeCell ref="A2:H2"/>
    <mergeCell ref="A1:H1"/>
  </mergeCells>
  <dataValidations count="4">
    <dataValidation type="list" allowBlank="1" sqref="E5:E16 F5:F14 G5:G24 H5:H34" xr:uid="{00000000-0002-0000-1000-000000000000}">
      <formula1>"Pendente,Em andamento,Concluído,Não se aplica"</formula1>
    </dataValidation>
    <dataValidation type="list" allowBlank="1" sqref="G5 G6 G7 G8 G9 G10 G11 G12 H5 H6 H7 H8 H9 H10 H11 H12 H13 H14 H15" xr:uid="{00000000-0002-0000-1000-000015000000}">
      <formula1>"Baixa,Média,Alta,Crítica"</formula1>
    </dataValidation>
    <dataValidation type="list" allowBlank="1" sqref="F5 F6 F7 F8 F9 F10 F11 F12 F13 H5 H6 H7 H8 H9 H10 H11 H12 H13 H14 I5 I6 I7 I8 I9 I10 I11 I12 I13 I14" xr:uid="{00000000-0002-0000-1000-000016000000}">
      <formula1>"Sim,Não,Parcial,Não sei"</formula1>
    </dataValidation>
    <dataValidation type="list" allowBlank="1" sqref="C5 C6 C7 C8 C9 C10 C11 C12 C13 C14" xr:uid="{00000000-0002-0000-1000-000017000000}">
      <formula1>"Integrado,Parcial,Manual/Planilha,Não possui,Não informado"</formula1>
    </dataValidation>
  </dataValidation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3"/>
  <sheetViews>
    <sheetView workbookViewId="0">
      <pane ySplit="4" topLeftCell="A5" activePane="bottomLeft" state="frozen"/>
      <selection pane="bottomLeft"/>
    </sheetView>
  </sheetViews>
  <sheetFormatPr baseColWidth="10" defaultColWidth="8.83203125" defaultRowHeight="15" x14ac:dyDescent="0.2"/>
  <cols>
    <col min="1" max="1" width="26" customWidth="1"/>
    <col min="2" max="3" width="24" customWidth="1"/>
    <col min="4" max="4" width="16" customWidth="1"/>
    <col min="5" max="5" width="28" customWidth="1"/>
    <col min="6" max="7" width="18" customWidth="1"/>
    <col min="8" max="8" width="24" customWidth="1"/>
  </cols>
  <sheetData>
    <row r="1" spans="1:8" ht="24" customHeight="1" x14ac:dyDescent="0.2">
      <c r="A1" s="13" t="s">
        <v>280</v>
      </c>
      <c r="B1" s="12"/>
      <c r="C1" s="12"/>
      <c r="D1" s="12"/>
      <c r="E1" s="12"/>
      <c r="F1" s="12"/>
      <c r="G1" s="12"/>
      <c r="H1" s="12"/>
    </row>
    <row r="2" spans="1:8" ht="34" customHeight="1" x14ac:dyDescent="0.2">
      <c r="A2" s="11" t="s">
        <v>281</v>
      </c>
      <c r="B2" s="12"/>
      <c r="C2" s="12"/>
      <c r="D2" s="12"/>
      <c r="E2" s="12"/>
      <c r="F2" s="12"/>
      <c r="G2" s="12"/>
      <c r="H2" s="12"/>
    </row>
    <row r="4" spans="1:8" ht="22" customHeight="1" x14ac:dyDescent="0.2">
      <c r="A4" s="3" t="s">
        <v>282</v>
      </c>
      <c r="B4" s="3" t="s">
        <v>283</v>
      </c>
      <c r="C4" s="3" t="s">
        <v>284</v>
      </c>
      <c r="D4" s="3" t="s">
        <v>285</v>
      </c>
      <c r="E4" s="3" t="s">
        <v>286</v>
      </c>
      <c r="F4" s="3" t="s">
        <v>287</v>
      </c>
      <c r="G4" s="3" t="s">
        <v>47</v>
      </c>
      <c r="H4" s="3" t="s">
        <v>19</v>
      </c>
    </row>
    <row r="5" spans="1:8" x14ac:dyDescent="0.2">
      <c r="A5" t="s">
        <v>288</v>
      </c>
      <c r="B5" s="4"/>
      <c r="C5" s="4"/>
      <c r="D5" s="4"/>
      <c r="E5" s="4"/>
      <c r="G5" s="4"/>
      <c r="H5" s="4"/>
    </row>
    <row r="6" spans="1:8" x14ac:dyDescent="0.2">
      <c r="A6" t="s">
        <v>289</v>
      </c>
      <c r="B6" s="4"/>
      <c r="C6" s="4"/>
      <c r="D6" s="4"/>
      <c r="E6" s="4"/>
      <c r="G6" s="4"/>
      <c r="H6" s="4"/>
    </row>
    <row r="7" spans="1:8" x14ac:dyDescent="0.2">
      <c r="A7" t="s">
        <v>247</v>
      </c>
      <c r="B7" s="4"/>
      <c r="C7" s="4"/>
      <c r="D7" s="4"/>
      <c r="E7" s="4"/>
      <c r="G7" s="4"/>
      <c r="H7" s="4"/>
    </row>
    <row r="8" spans="1:8" x14ac:dyDescent="0.2">
      <c r="A8" t="s">
        <v>290</v>
      </c>
      <c r="B8" s="4"/>
      <c r="C8" s="4"/>
      <c r="D8" s="4"/>
      <c r="E8" s="4"/>
      <c r="G8" s="4"/>
      <c r="H8" s="4"/>
    </row>
    <row r="9" spans="1:8" x14ac:dyDescent="0.2">
      <c r="A9" t="s">
        <v>291</v>
      </c>
      <c r="B9" s="4"/>
      <c r="C9" s="4"/>
      <c r="D9" s="4"/>
      <c r="E9" s="4"/>
      <c r="G9" s="4"/>
      <c r="H9" s="4"/>
    </row>
    <row r="10" spans="1:8" x14ac:dyDescent="0.2">
      <c r="A10" t="s">
        <v>292</v>
      </c>
      <c r="B10" s="4"/>
      <c r="C10" s="4"/>
      <c r="D10" s="4"/>
      <c r="E10" s="4"/>
      <c r="G10" s="4"/>
      <c r="H10" s="4"/>
    </row>
    <row r="11" spans="1:8" x14ac:dyDescent="0.2">
      <c r="A11" t="s">
        <v>293</v>
      </c>
      <c r="B11" s="4"/>
      <c r="C11" s="4"/>
      <c r="D11" s="4"/>
      <c r="E11" s="4"/>
      <c r="G11" s="4"/>
      <c r="H11" s="4"/>
    </row>
    <row r="12" spans="1:8" x14ac:dyDescent="0.2">
      <c r="A12" t="s">
        <v>250</v>
      </c>
      <c r="B12" s="4"/>
      <c r="C12" s="4"/>
      <c r="D12" s="4"/>
      <c r="E12" s="4"/>
      <c r="G12" s="4"/>
      <c r="H12" s="4"/>
    </row>
    <row r="13" spans="1:8" x14ac:dyDescent="0.2">
      <c r="A13" t="s">
        <v>294</v>
      </c>
      <c r="B13" s="4"/>
      <c r="C13" s="4"/>
      <c r="D13" s="4"/>
      <c r="E13" s="4"/>
      <c r="G13" s="4"/>
      <c r="H13" s="4"/>
    </row>
  </sheetData>
  <mergeCells count="2">
    <mergeCell ref="A2:H2"/>
    <mergeCell ref="A1:H1"/>
  </mergeCells>
  <dataValidations count="4">
    <dataValidation type="list" allowBlank="1" sqref="F5:F13 H5:I14" xr:uid="{00000000-0002-0000-1100-000000000000}">
      <formula1>"Sim,Não,Parcial,Não sei"</formula1>
    </dataValidation>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1100-000009000000}">
      <formula1>"Pendente,Em andamento,Concluído,Não se aplica"</formula1>
    </dataValidation>
    <dataValidation type="list" allowBlank="1" sqref="G5 G6 G7 G8 G9 G10 G11 G12 H5 H6 H7 H8 H9 H10 H11 H12 H13 H14 H15" xr:uid="{00000000-0002-0000-1100-00000A000000}">
      <formula1>"Baixa,Média,Alta,Crítica"</formula1>
    </dataValidation>
    <dataValidation type="list" allowBlank="1" sqref="C5 C6 C7 C8 C9 C10 C11 C12 C13 C14" xr:uid="{00000000-0002-0000-1100-00000C000000}">
      <formula1>"Integrado,Parcial,Manual/Planilha,Não possui,Não informado"</formula1>
    </dataValidation>
  </dataValidation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25"/>
  <sheetViews>
    <sheetView workbookViewId="0">
      <pane ySplit="4" topLeftCell="A5" activePane="bottomLeft" state="frozen"/>
      <selection pane="bottomLeft"/>
    </sheetView>
  </sheetViews>
  <sheetFormatPr baseColWidth="10" defaultColWidth="8.83203125" defaultRowHeight="15" x14ac:dyDescent="0.2"/>
  <cols>
    <col min="1" max="2" width="24" customWidth="1"/>
    <col min="3" max="3" width="20" customWidth="1"/>
    <col min="4" max="4" width="18" customWidth="1"/>
    <col min="5" max="5" width="14" customWidth="1"/>
    <col min="6" max="7" width="18" customWidth="1"/>
  </cols>
  <sheetData>
    <row r="1" spans="1:7" ht="24" customHeight="1" x14ac:dyDescent="0.2">
      <c r="A1" s="13" t="s">
        <v>295</v>
      </c>
      <c r="B1" s="12"/>
      <c r="C1" s="12"/>
      <c r="D1" s="12"/>
      <c r="E1" s="12"/>
      <c r="F1" s="12"/>
      <c r="G1" s="12"/>
    </row>
    <row r="2" spans="1:7" ht="34" customHeight="1" x14ac:dyDescent="0.2">
      <c r="A2" s="11" t="s">
        <v>296</v>
      </c>
      <c r="B2" s="12"/>
      <c r="C2" s="12"/>
      <c r="D2" s="12"/>
      <c r="E2" s="12"/>
      <c r="F2" s="12"/>
      <c r="G2" s="12"/>
    </row>
    <row r="4" spans="1:7" ht="22" customHeight="1" x14ac:dyDescent="0.2">
      <c r="A4" s="3" t="s">
        <v>297</v>
      </c>
      <c r="B4" s="3" t="s">
        <v>298</v>
      </c>
      <c r="C4" s="3" t="s">
        <v>299</v>
      </c>
      <c r="D4" s="3" t="s">
        <v>300</v>
      </c>
      <c r="E4" s="3" t="s">
        <v>301</v>
      </c>
      <c r="F4" s="3" t="s">
        <v>302</v>
      </c>
      <c r="G4" s="3" t="s">
        <v>303</v>
      </c>
    </row>
    <row r="5" spans="1:7" x14ac:dyDescent="0.2">
      <c r="A5" t="s">
        <v>13</v>
      </c>
      <c r="B5" t="s">
        <v>304</v>
      </c>
      <c r="C5">
        <f>COUNTA('02_Identificacao_Contatos'!B5:B19)</f>
        <v>0</v>
      </c>
      <c r="D5" t="s">
        <v>305</v>
      </c>
      <c r="E5" s="9">
        <f t="shared" ref="E5:E20" si="0">IFERROR(C5/D5,0)</f>
        <v>0</v>
      </c>
      <c r="F5" t="s">
        <v>24</v>
      </c>
      <c r="G5" s="10" t="str">
        <f t="shared" ref="G5:G20" si="1">IF(E5&gt;=0.8,"Alta",IF(E5&gt;=0.5,"Média","Baixa"))</f>
        <v>Baixa</v>
      </c>
    </row>
    <row r="6" spans="1:7" x14ac:dyDescent="0.2">
      <c r="A6" t="s">
        <v>306</v>
      </c>
      <c r="B6" t="s">
        <v>307</v>
      </c>
      <c r="C6">
        <f>COUNTA('03_Objetivos_Sponsors'!B5:B12)</f>
        <v>0</v>
      </c>
      <c r="D6" t="s">
        <v>308</v>
      </c>
      <c r="E6" s="9">
        <f t="shared" si="0"/>
        <v>0</v>
      </c>
      <c r="F6" t="s">
        <v>24</v>
      </c>
      <c r="G6" s="10" t="str">
        <f t="shared" si="1"/>
        <v>Baixa</v>
      </c>
    </row>
    <row r="7" spans="1:7" x14ac:dyDescent="0.2">
      <c r="A7" t="s">
        <v>309</v>
      </c>
      <c r="B7" t="s">
        <v>310</v>
      </c>
      <c r="C7">
        <f>COUNTA('04_Processo_Comercial'!B5:B15)</f>
        <v>0</v>
      </c>
      <c r="D7" t="s">
        <v>311</v>
      </c>
      <c r="E7" s="9">
        <f t="shared" si="0"/>
        <v>0</v>
      </c>
      <c r="F7" t="s">
        <v>24</v>
      </c>
      <c r="G7" s="10" t="str">
        <f t="shared" si="1"/>
        <v>Baixa</v>
      </c>
    </row>
    <row r="8" spans="1:7" x14ac:dyDescent="0.2">
      <c r="A8" t="s">
        <v>312</v>
      </c>
      <c r="B8" t="s">
        <v>313</v>
      </c>
      <c r="C8">
        <f>COUNTA('05_Perfil_Metricas'!B5:B18)</f>
        <v>0</v>
      </c>
      <c r="D8" t="s">
        <v>314</v>
      </c>
      <c r="E8" s="9">
        <f t="shared" si="0"/>
        <v>0</v>
      </c>
      <c r="F8" t="s">
        <v>24</v>
      </c>
      <c r="G8" s="10" t="str">
        <f t="shared" si="1"/>
        <v>Baixa</v>
      </c>
    </row>
    <row r="9" spans="1:7" x14ac:dyDescent="0.2">
      <c r="A9" t="s">
        <v>315</v>
      </c>
      <c r="B9" t="s">
        <v>316</v>
      </c>
      <c r="C9">
        <f>COUNTA('06_Config_Operacional'!B5:B14)</f>
        <v>0</v>
      </c>
      <c r="D9" t="s">
        <v>317</v>
      </c>
      <c r="E9" s="9">
        <f t="shared" si="0"/>
        <v>0</v>
      </c>
      <c r="F9" t="s">
        <v>24</v>
      </c>
      <c r="G9" s="10" t="str">
        <f t="shared" si="1"/>
        <v>Baixa</v>
      </c>
    </row>
    <row r="10" spans="1:7" x14ac:dyDescent="0.2">
      <c r="A10" t="s">
        <v>318</v>
      </c>
      <c r="B10" t="s">
        <v>319</v>
      </c>
      <c r="C10">
        <f>COUNTA('07_Integracoes_Dados'!B5:B14)</f>
        <v>0</v>
      </c>
      <c r="D10" t="s">
        <v>317</v>
      </c>
      <c r="E10" s="9">
        <f t="shared" si="0"/>
        <v>0</v>
      </c>
      <c r="F10" t="s">
        <v>28</v>
      </c>
      <c r="G10" s="10" t="str">
        <f t="shared" si="1"/>
        <v>Baixa</v>
      </c>
    </row>
    <row r="11" spans="1:7" x14ac:dyDescent="0.2">
      <c r="A11" t="s">
        <v>320</v>
      </c>
      <c r="B11" t="s">
        <v>321</v>
      </c>
      <c r="C11">
        <f>COUNTA('08_Pipeline_Manual'!A5:A44)</f>
        <v>0</v>
      </c>
      <c r="D11" t="s">
        <v>322</v>
      </c>
      <c r="E11" s="9">
        <f t="shared" si="0"/>
        <v>0</v>
      </c>
      <c r="F11" t="s">
        <v>24</v>
      </c>
      <c r="G11" s="10" t="str">
        <f t="shared" si="1"/>
        <v>Baixa</v>
      </c>
    </row>
    <row r="12" spans="1:7" x14ac:dyDescent="0.2">
      <c r="A12" t="s">
        <v>323</v>
      </c>
      <c r="B12" t="s">
        <v>324</v>
      </c>
      <c r="C12">
        <f>COUNTA('09_Campanhas_Canais'!A5:A24)</f>
        <v>0</v>
      </c>
      <c r="D12" t="s">
        <v>325</v>
      </c>
      <c r="E12" s="9">
        <f t="shared" si="0"/>
        <v>0</v>
      </c>
      <c r="F12" t="s">
        <v>28</v>
      </c>
      <c r="G12" s="10" t="str">
        <f t="shared" si="1"/>
        <v>Baixa</v>
      </c>
    </row>
    <row r="13" spans="1:7" x14ac:dyDescent="0.2">
      <c r="A13" t="s">
        <v>326</v>
      </c>
      <c r="B13" t="s">
        <v>327</v>
      </c>
      <c r="C13">
        <f>COUNTA('10_UnitEconomics'!C5:C15)+COUNTA('10_UnitEconomics'!E5:E15)+COUNTA('10_UnitEconomics'!F5:F15)+COUNTA('10_UnitEconomics'!B18:B20)</f>
        <v>0</v>
      </c>
      <c r="D13" t="s">
        <v>328</v>
      </c>
      <c r="E13" s="9">
        <f t="shared" si="0"/>
        <v>0</v>
      </c>
      <c r="F13" t="s">
        <v>24</v>
      </c>
      <c r="G13" s="10" t="str">
        <f t="shared" si="1"/>
        <v>Baixa</v>
      </c>
    </row>
    <row r="14" spans="1:7" x14ac:dyDescent="0.2">
      <c r="A14" t="s">
        <v>329</v>
      </c>
      <c r="B14" t="s">
        <v>330</v>
      </c>
      <c r="C14">
        <f>COUNTA('11_Recrutamento_Filtros'!A5:A29)</f>
        <v>0</v>
      </c>
      <c r="D14" t="s">
        <v>331</v>
      </c>
      <c r="E14" s="9">
        <f t="shared" si="0"/>
        <v>0</v>
      </c>
      <c r="F14" t="s">
        <v>28</v>
      </c>
      <c r="G14" s="10" t="str">
        <f t="shared" si="1"/>
        <v>Baixa</v>
      </c>
    </row>
    <row r="15" spans="1:7" x14ac:dyDescent="0.2">
      <c r="A15" t="s">
        <v>332</v>
      </c>
      <c r="B15" t="s">
        <v>333</v>
      </c>
      <c r="C15">
        <f>COUNTA('12_Base_Logistica'!A5:A19)</f>
        <v>0</v>
      </c>
      <c r="D15" t="s">
        <v>305</v>
      </c>
      <c r="E15" s="9">
        <f t="shared" si="0"/>
        <v>0</v>
      </c>
      <c r="F15" t="s">
        <v>28</v>
      </c>
      <c r="G15" s="10" t="str">
        <f t="shared" si="1"/>
        <v>Baixa</v>
      </c>
    </row>
    <row r="16" spans="1:7" x14ac:dyDescent="0.2">
      <c r="A16" t="s">
        <v>334</v>
      </c>
      <c r="B16" t="s">
        <v>335</v>
      </c>
      <c r="C16">
        <f>COUNTA('13_Mapa_Fiscal_Fin'!B5:B16)</f>
        <v>0</v>
      </c>
      <c r="D16" t="s">
        <v>336</v>
      </c>
      <c r="E16" s="9">
        <f t="shared" si="0"/>
        <v>0</v>
      </c>
      <c r="F16" t="s">
        <v>24</v>
      </c>
      <c r="G16" s="10" t="str">
        <f t="shared" si="1"/>
        <v>Baixa</v>
      </c>
    </row>
    <row r="17" spans="1:7" x14ac:dyDescent="0.2">
      <c r="A17" t="s">
        <v>337</v>
      </c>
      <c r="B17" t="s">
        <v>338</v>
      </c>
      <c r="C17">
        <f>COUNTA('14_Tecnologia_Roadmap'!B5:B15)</f>
        <v>0</v>
      </c>
      <c r="D17" t="s">
        <v>311</v>
      </c>
      <c r="E17" s="9">
        <f t="shared" si="0"/>
        <v>0</v>
      </c>
      <c r="F17" t="s">
        <v>28</v>
      </c>
      <c r="G17" s="10" t="str">
        <f t="shared" si="1"/>
        <v>Baixa</v>
      </c>
    </row>
    <row r="18" spans="1:7" x14ac:dyDescent="0.2">
      <c r="A18" t="s">
        <v>339</v>
      </c>
      <c r="B18" t="s">
        <v>340</v>
      </c>
      <c r="C18">
        <f>COUNTA('15_Governanca_Politicas'!B5:B13)</f>
        <v>0</v>
      </c>
      <c r="D18" t="s">
        <v>341</v>
      </c>
      <c r="E18" s="9">
        <f t="shared" si="0"/>
        <v>0</v>
      </c>
      <c r="F18" t="s">
        <v>24</v>
      </c>
      <c r="G18" s="10" t="str">
        <f t="shared" si="1"/>
        <v>Baixa</v>
      </c>
    </row>
    <row r="19" spans="1:7" x14ac:dyDescent="0.2">
      <c r="A19" t="s">
        <v>342</v>
      </c>
      <c r="B19" t="s">
        <v>343</v>
      </c>
      <c r="C19">
        <f>COUNTA('16_Rituais_PAIP'!A5:A34)</f>
        <v>0</v>
      </c>
      <c r="D19" t="s">
        <v>344</v>
      </c>
      <c r="E19" s="9">
        <f t="shared" si="0"/>
        <v>0</v>
      </c>
      <c r="F19" t="s">
        <v>24</v>
      </c>
      <c r="G19" s="10" t="str">
        <f t="shared" si="1"/>
        <v>Baixa</v>
      </c>
    </row>
    <row r="20" spans="1:7" x14ac:dyDescent="0.2">
      <c r="A20" t="s">
        <v>345</v>
      </c>
      <c r="B20" t="s">
        <v>346</v>
      </c>
      <c r="C20">
        <f>COUNTA('17_Acessos_Arquivos'!A5:A24)</f>
        <v>0</v>
      </c>
      <c r="D20" t="s">
        <v>325</v>
      </c>
      <c r="E20" s="9">
        <f t="shared" si="0"/>
        <v>0</v>
      </c>
      <c r="F20" t="s">
        <v>28</v>
      </c>
      <c r="G20" s="10" t="str">
        <f t="shared" si="1"/>
        <v>Baixa</v>
      </c>
    </row>
    <row r="23" spans="1:7" ht="30" x14ac:dyDescent="0.2">
      <c r="A23" s="14" t="s">
        <v>347</v>
      </c>
      <c r="B23" s="17"/>
      <c r="C23" s="10">
        <f>SUM(C5:C20)</f>
        <v>0</v>
      </c>
      <c r="D23" s="10">
        <f>SUM(D5:D20)</f>
        <v>0</v>
      </c>
      <c r="E23" s="9">
        <f>IFERROR(C23/D23,0)</f>
        <v>0</v>
      </c>
      <c r="G23" s="10" t="str">
        <f>IF(E23&gt;=0.8,"Pronto para insights","Parcial / complementar contexto")</f>
        <v>Parcial / complementar contexto</v>
      </c>
    </row>
    <row r="25" spans="1:7" ht="30" customHeight="1" x14ac:dyDescent="0.2">
      <c r="A25" s="11" t="s">
        <v>348</v>
      </c>
      <c r="B25" s="12"/>
      <c r="C25" s="12"/>
      <c r="D25" s="12"/>
      <c r="E25" s="12"/>
      <c r="F25" s="12"/>
      <c r="G25" s="12"/>
    </row>
  </sheetData>
  <mergeCells count="4">
    <mergeCell ref="A2:G2"/>
    <mergeCell ref="A1:G1"/>
    <mergeCell ref="A25:G25"/>
    <mergeCell ref="A23:B23"/>
  </mergeCells>
  <conditionalFormatting sqref="E5:E20">
    <cfRule type="cellIs" dxfId="2" priority="1" operator="lessThan">
      <formula>0.5</formula>
    </cfRule>
    <cfRule type="cellIs" dxfId="1" priority="2" operator="between">
      <formula>0.5</formula>
      <formula>0.79</formula>
    </cfRule>
    <cfRule type="cellIs" dxfId="0" priority="3" operator="greaterThanOrEqual">
      <formula>0.8</formula>
    </cfRule>
  </conditionalFormatting>
  <dataValidations count="4">
    <dataValidation type="list" allowBlank="1" sqref="E5 E6 E7 E8 E9 E10 E11 E12 E13 E14 E15 E16 F5 F6 F7 F8 F9 F10 F11 F12 F13 F14 G5:G19 G20 G21 G22 G23 G24 H5 H6 H7 H8 H9 H10 H11 H12 H13 H14 H15 H16 H17 H18 H19 H20 H21 H22 H23 H24 H25 H26 H27 H28 H29 H30 H31 H32 H33 H34" xr:uid="{00000000-0002-0000-1200-000000000000}">
      <formula1>"Pendente,Em andamento,Concluído,Não se aplica"</formula1>
    </dataValidation>
    <dataValidation type="list" allowBlank="1" sqref="G5 G6 G7 G8 G9 G10 G11 G12 H5 H6 H7 H8 H9 H10 H11 H12 H13 H14 H15" xr:uid="{00000000-0002-0000-1200-000001000000}">
      <formula1>"Baixa,Média,Alta,Crítica"</formula1>
    </dataValidation>
    <dataValidation type="list" allowBlank="1" sqref="F5 F6 F7 F8 F9 F10 F11 F12 F13 H5 H6 H7 H8 H9 H10 H11 H12 H13 H14 I5 I6 I7 I8 I9 I10 I11 I12 I13 I14" xr:uid="{00000000-0002-0000-1200-000002000000}">
      <formula1>"Sim,Não,Parcial,Não sei"</formula1>
    </dataValidation>
    <dataValidation type="list" allowBlank="1" sqref="C5 C6 C7 C8 C9 C10 C11 C12 C13 C14" xr:uid="{00000000-0002-0000-1200-000003000000}">
      <formula1>"Integrado,Parcial,Manual/Planilha,Não possui,Não informado"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19</vt:i4>
      </vt:variant>
    </vt:vector>
  </HeadingPairs>
  <TitlesOfParts>
    <vt:vector size="19" baseType="lpstr">
      <vt:lpstr>01_Instrucoes</vt:lpstr>
      <vt:lpstr>02_Identificacao_Contatos</vt:lpstr>
      <vt:lpstr>03_Objetivos_Sponsors</vt:lpstr>
      <vt:lpstr>04_Processo_Comercial</vt:lpstr>
      <vt:lpstr>05_Perfil_Metricas</vt:lpstr>
      <vt:lpstr>06_Config_Operacional</vt:lpstr>
      <vt:lpstr>07_Integracoes_Dados</vt:lpstr>
      <vt:lpstr>08_Pipeline_Manual</vt:lpstr>
      <vt:lpstr>09_Campanhas_Canais</vt:lpstr>
      <vt:lpstr>10_UnitEconomics</vt:lpstr>
      <vt:lpstr>11_Recrutamento_Filtros</vt:lpstr>
      <vt:lpstr>12_Base_Logistica</vt:lpstr>
      <vt:lpstr>13_Mapa_Fiscal_Fin</vt:lpstr>
      <vt:lpstr>14_Tecnologia_Roadmap</vt:lpstr>
      <vt:lpstr>15_Governanca_Politicas</vt:lpstr>
      <vt:lpstr>16_Rituais_PAIP</vt:lpstr>
      <vt:lpstr>17_Acessos_Arquivos</vt:lpstr>
      <vt:lpstr>18_Status_Projeto</vt:lpstr>
      <vt:lpstr>19_Resumo_Completude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Bruno Nogueira</cp:lastModifiedBy>
  <dcterms:created xsi:type="dcterms:W3CDTF">2026-03-23T14:25:43Z</dcterms:created>
  <dcterms:modified xsi:type="dcterms:W3CDTF">2026-03-23T22:20:11Z</dcterms:modified>
</cp:coreProperties>
</file>